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fer Efficienc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000000"/>
      <sz val="9"/>
    </font>
    <font>
      <name val="Arial"/>
      <color rgb="00808080"/>
      <sz val="8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1F3864"/>
      <sz val="10"/>
    </font>
    <font>
      <name val="Arial"/>
      <i val="1"/>
      <color rgb="00808080"/>
      <sz val="8"/>
    </font>
    <font>
      <name val="Arial"/>
      <b val="1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166" fontId="8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165" fontId="13" fillId="7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TE Sheet</author>
  </authors>
  <commentList>
    <comment ref="C7" authorId="0" shapeId="0">
      <text>
        <t>Density of the paint as received (before thinning). Typical solvent-borne base/clear ~ 0.95-1.15 g/cc.</t>
      </text>
    </comment>
    <comment ref="C8" authorId="0" shapeId="0">
      <text>
        <t>Volume fraction of the supplied paint that stays as dry film. From the Technical Data Sheet.</t>
      </text>
    </comment>
    <comment ref="C9" authorId="0" shapeId="0">
      <text>
        <t>Weight fraction of non-volatiles in the supplied paint. From the Technical Data Sheet.</t>
      </text>
    </comment>
    <comment ref="C10" authorId="0" shapeId="0">
      <text>
        <t>Thinner/solvent density. Assumed 100% volatile (contributes no solids).</t>
      </text>
    </comment>
    <comment ref="C11" authorId="0" shapeId="0">
      <text>
        <t>Reduction recipe. e.g. 100:20 -&gt; paint parts = 100.</t>
      </text>
    </comment>
    <comment ref="C12" authorId="0" shapeId="0">
      <text>
        <t>Reduction recipe. e.g. 100:20 -&gt; thinner parts = 20.</t>
      </text>
    </comment>
    <comment ref="C17" authorId="0" shapeId="0">
      <text>
        <t>rho_solids = rho_paint x WS_paint / VS_paint.  This constant bridges the WEIGHT method and the DFT/VOLUME method.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40" customWidth="1" min="1" max="1"/>
    <col width="12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PAINT TRANSFER EFFICIENCY (TE) CALCULATOR  —  Robotic / Bell-Atomizer Solvent-Borne Application</t>
        </is>
      </c>
    </row>
    <row r="2" ht="28" customHeight="1">
      <c r="A2" s="2" t="inlineStr">
        <is>
          <t>Matches the PRACTICAL foil/gravimetric method (ASTM D5066) with the THEORETICAL DFT/volume-solids method on one sheet. Enter values only in the soft-yellow cells; everything else is auto-calculated.</t>
        </is>
      </c>
    </row>
    <row r="3" ht="16" customHeight="1">
      <c r="A3" s="3" t="inlineStr">
        <is>
          <t>TE = (paint SOLIDS deposited on part) / (paint SOLIDS sprayed) x 100.   Refs: ASTM D5066 / D5286 / D5327; coverage identity  m2/L = 10 x VS%  /  DFT(um).</t>
        </is>
      </c>
    </row>
    <row r="5">
      <c r="A5" s="4" t="inlineStr">
        <is>
          <t>1)  MATERIAL &amp; MIX PROPERTIES   (global inputs — apply to all trials)</t>
        </is>
      </c>
    </row>
    <row r="6">
      <c r="A6" s="5" t="inlineStr">
        <is>
          <t>Parameter</t>
        </is>
      </c>
      <c r="B6" s="6" t="inlineStr">
        <is>
          <t>Unit</t>
        </is>
      </c>
      <c r="C6" s="5" t="inlineStr">
        <is>
          <t>Value / Formula</t>
        </is>
      </c>
      <c r="D6" s="6" t="inlineStr"/>
      <c r="E6" s="6" t="inlineStr"/>
      <c r="F6" s="6" t="inlineStr"/>
      <c r="G6" s="6" t="inlineStr"/>
      <c r="H6" s="6" t="inlineStr"/>
    </row>
    <row r="7">
      <c r="A7" s="7" t="inlineStr">
        <is>
          <t>Paint density  (rho_paint, as supplied)</t>
        </is>
      </c>
      <c r="B7" s="8" t="inlineStr">
        <is>
          <t>g/cc</t>
        </is>
      </c>
      <c r="C7" s="9" t="n">
        <v>1.05</v>
      </c>
      <c r="D7" s="10" t="inlineStr"/>
      <c r="E7" s="10" t="inlineStr"/>
      <c r="F7" s="10" t="inlineStr"/>
      <c r="G7" s="10" t="inlineStr"/>
      <c r="H7" s="10" t="inlineStr"/>
    </row>
    <row r="8">
      <c r="A8" s="7" t="inlineStr">
        <is>
          <t>Paint VOLUME solids  (VS_paint)</t>
        </is>
      </c>
      <c r="B8" s="8" t="inlineStr">
        <is>
          <t>%</t>
        </is>
      </c>
      <c r="C8" s="11" t="n">
        <v>0.22</v>
      </c>
      <c r="D8" s="10" t="inlineStr"/>
      <c r="E8" s="10" t="inlineStr"/>
      <c r="F8" s="10" t="inlineStr"/>
      <c r="G8" s="10" t="inlineStr"/>
      <c r="H8" s="10" t="inlineStr"/>
    </row>
    <row r="9">
      <c r="A9" s="7" t="inlineStr">
        <is>
          <t>Paint WEIGHT solids  (WS_paint)</t>
        </is>
      </c>
      <c r="B9" s="8" t="inlineStr">
        <is>
          <t>%</t>
        </is>
      </c>
      <c r="C9" s="11" t="n">
        <v>0.3</v>
      </c>
      <c r="D9" s="10" t="inlineStr"/>
      <c r="E9" s="10" t="inlineStr"/>
      <c r="F9" s="10" t="inlineStr"/>
      <c r="G9" s="10" t="inlineStr"/>
      <c r="H9" s="10" t="inlineStr"/>
    </row>
    <row r="10">
      <c r="A10" s="7" t="inlineStr">
        <is>
          <t>Thinner density  (rho_thinner)</t>
        </is>
      </c>
      <c r="B10" s="8" t="inlineStr">
        <is>
          <t>g/cc</t>
        </is>
      </c>
      <c r="C10" s="9" t="n">
        <v>0.87</v>
      </c>
      <c r="D10" s="10" t="inlineStr"/>
      <c r="E10" s="10" t="inlineStr"/>
      <c r="F10" s="10" t="inlineStr"/>
      <c r="G10" s="10" t="inlineStr"/>
      <c r="H10" s="10" t="inlineStr"/>
    </row>
    <row r="11">
      <c r="A11" s="7" t="inlineStr">
        <is>
          <t>Mix ratio — PAINT parts (by volume)</t>
        </is>
      </c>
      <c r="B11" s="8" t="inlineStr">
        <is>
          <t>parts</t>
        </is>
      </c>
      <c r="C11" s="12" t="n">
        <v>100</v>
      </c>
      <c r="D11" s="10" t="inlineStr"/>
      <c r="E11" s="10" t="inlineStr"/>
      <c r="F11" s="10" t="inlineStr"/>
      <c r="G11" s="10" t="inlineStr"/>
      <c r="H11" s="10" t="inlineStr"/>
    </row>
    <row r="12">
      <c r="A12" s="7" t="inlineStr">
        <is>
          <t>Mix ratio — THINNER parts (by volume)</t>
        </is>
      </c>
      <c r="B12" s="8" t="inlineStr">
        <is>
          <t>parts</t>
        </is>
      </c>
      <c r="C12" s="12" t="n">
        <v>20</v>
      </c>
      <c r="D12" s="10" t="inlineStr"/>
      <c r="E12" s="10" t="inlineStr"/>
      <c r="F12" s="10" t="inlineStr"/>
      <c r="G12" s="10" t="inlineStr"/>
      <c r="H12" s="10" t="inlineStr"/>
    </row>
    <row r="13">
      <c r="A13" s="13" t="inlineStr">
        <is>
          <t>-- derived automatically --</t>
        </is>
      </c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</row>
    <row r="14">
      <c r="A14" s="7" t="inlineStr">
        <is>
          <t>Mixed (as-sprayed) VOLUME solids  VS_mix</t>
        </is>
      </c>
      <c r="B14" s="8" t="inlineStr">
        <is>
          <t>%</t>
        </is>
      </c>
      <c r="C14" s="15">
        <f>C8*C11/(C11+C12)</f>
        <v/>
      </c>
      <c r="D14" s="10" t="inlineStr"/>
      <c r="E14" s="10" t="inlineStr"/>
      <c r="F14" s="10" t="inlineStr"/>
      <c r="G14" s="10" t="inlineStr"/>
      <c r="H14" s="10" t="inlineStr"/>
    </row>
    <row r="15">
      <c r="A15" s="7" t="inlineStr">
        <is>
          <t>Mixed (as-sprayed) density  rho_mix</t>
        </is>
      </c>
      <c r="B15" s="8" t="inlineStr">
        <is>
          <t>g/cc</t>
        </is>
      </c>
      <c r="C15" s="16">
        <f>(C7*C11+C10*C12)/(C11+C12)</f>
        <v/>
      </c>
      <c r="D15" s="10" t="inlineStr"/>
      <c r="E15" s="10" t="inlineStr"/>
      <c r="F15" s="10" t="inlineStr"/>
      <c r="G15" s="10" t="inlineStr"/>
      <c r="H15" s="10" t="inlineStr"/>
    </row>
    <row r="16">
      <c r="A16" s="7" t="inlineStr">
        <is>
          <t>Mixed (as-sprayed) WEIGHT solids  WS_mix</t>
        </is>
      </c>
      <c r="B16" s="8" t="inlineStr">
        <is>
          <t>%</t>
        </is>
      </c>
      <c r="C16" s="15">
        <f>(C7*C11*C9)/(C7*C11+C10*C12)</f>
        <v/>
      </c>
      <c r="D16" s="10" t="inlineStr"/>
      <c r="E16" s="10" t="inlineStr"/>
      <c r="F16" s="10" t="inlineStr"/>
      <c r="G16" s="10" t="inlineStr"/>
      <c r="H16" s="10" t="inlineStr"/>
    </row>
    <row r="17">
      <c r="A17" s="7" t="inlineStr">
        <is>
          <t>Dry-film (SOLIDS) density  rho_solids</t>
        </is>
      </c>
      <c r="B17" s="8" t="inlineStr">
        <is>
          <t>g/cc</t>
        </is>
      </c>
      <c r="C17" s="16">
        <f>C7*C9/C8</f>
        <v/>
      </c>
      <c r="D17" s="10" t="inlineStr"/>
      <c r="E17" s="10" t="inlineStr"/>
      <c r="F17" s="10" t="inlineStr"/>
      <c r="G17" s="10" t="inlineStr"/>
      <c r="H17" s="10" t="inlineStr"/>
    </row>
    <row r="18"/>
    <row r="19">
      <c r="A19" s="4" t="inlineStr">
        <is>
          <t>2)  TRIAL LOG   (one column per spray test — fill yellow input cells; Trial 1 is a worked example)</t>
        </is>
      </c>
    </row>
    <row r="20" ht="26" customHeight="1">
      <c r="A20" s="5" t="inlineStr">
        <is>
          <t>Parameter</t>
        </is>
      </c>
      <c r="B20" s="6" t="inlineStr">
        <is>
          <t>Unit</t>
        </is>
      </c>
      <c r="C20" s="17" t="inlineStr">
        <is>
          <t>Formula / note</t>
        </is>
      </c>
      <c r="D20" s="18" t="inlineStr">
        <is>
          <t>Trial 1 (example)</t>
        </is>
      </c>
      <c r="E20" s="6" t="inlineStr">
        <is>
          <t>Trial 2</t>
        </is>
      </c>
      <c r="F20" s="6" t="inlineStr">
        <is>
          <t>Trial 3</t>
        </is>
      </c>
      <c r="G20" s="6" t="inlineStr">
        <is>
          <t>Trial 4</t>
        </is>
      </c>
      <c r="H20" s="6" t="inlineStr">
        <is>
          <t>Trial 5</t>
        </is>
      </c>
    </row>
    <row r="21">
      <c r="A21" s="19" t="inlineStr">
        <is>
          <t>Process / robot parameters   (logged for correlation — only Flow &amp; Time enter the TE math)</t>
        </is>
      </c>
    </row>
    <row r="22">
      <c r="A22" s="7" t="inlineStr">
        <is>
          <t>Bell / turbine speed</t>
        </is>
      </c>
      <c r="B22" s="8" t="inlineStr">
        <is>
          <t>krpm</t>
        </is>
      </c>
      <c r="C22" s="20" t="inlineStr">
        <is>
          <t>Atomizer rotation speed</t>
        </is>
      </c>
      <c r="D22" s="12" t="n">
        <v>40</v>
      </c>
      <c r="E22" s="12" t="n"/>
      <c r="F22" s="12" t="n"/>
      <c r="G22" s="12" t="n"/>
      <c r="H22" s="12" t="n"/>
    </row>
    <row r="23">
      <c r="A23" s="7" t="inlineStr">
        <is>
          <t>Shaping air — inner (shape-in)</t>
        </is>
      </c>
      <c r="B23" s="8" t="inlineStr">
        <is>
          <t>NL/min</t>
        </is>
      </c>
      <c r="C23" s="20" t="inlineStr">
        <is>
          <t>Inner shaping-air flow</t>
        </is>
      </c>
      <c r="D23" s="12" t="n">
        <v>300</v>
      </c>
      <c r="E23" s="12" t="n"/>
      <c r="F23" s="12" t="n"/>
      <c r="G23" s="12" t="n"/>
      <c r="H23" s="12" t="n"/>
    </row>
    <row r="24">
      <c r="A24" s="7" t="inlineStr">
        <is>
          <t>Shaping air — outer (shape-out)</t>
        </is>
      </c>
      <c r="B24" s="8" t="inlineStr">
        <is>
          <t>NL/min</t>
        </is>
      </c>
      <c r="C24" s="20" t="inlineStr">
        <is>
          <t>Outer shaping-air flow</t>
        </is>
      </c>
      <c r="D24" s="12" t="n">
        <v>200</v>
      </c>
      <c r="E24" s="12" t="n"/>
      <c r="F24" s="12" t="n"/>
      <c r="G24" s="12" t="n"/>
      <c r="H24" s="12" t="n"/>
    </row>
    <row r="25">
      <c r="A25" s="7" t="inlineStr">
        <is>
          <t>Atomizing / turbine air pressure</t>
        </is>
      </c>
      <c r="B25" s="8" t="inlineStr">
        <is>
          <t>bar</t>
        </is>
      </c>
      <c r="C25" s="20" t="inlineStr">
        <is>
          <t>Drive/atomizing air</t>
        </is>
      </c>
      <c r="D25" s="21" t="n">
        <v>4.5</v>
      </c>
      <c r="E25" s="21" t="n"/>
      <c r="F25" s="21" t="n"/>
      <c r="G25" s="21" t="n"/>
      <c r="H25" s="21" t="n"/>
    </row>
    <row r="26">
      <c r="A26" s="7" t="inlineStr">
        <is>
          <t>Electrostatic high voltage</t>
        </is>
      </c>
      <c r="B26" s="8" t="inlineStr">
        <is>
          <t>kV</t>
        </is>
      </c>
      <c r="C26" s="20" t="inlineStr">
        <is>
          <t>0 if non-electrostatic</t>
        </is>
      </c>
      <c r="D26" s="12" t="n">
        <v>70</v>
      </c>
      <c r="E26" s="12" t="n"/>
      <c r="F26" s="12" t="n"/>
      <c r="G26" s="12" t="n"/>
      <c r="H26" s="12" t="n"/>
    </row>
    <row r="27">
      <c r="A27" s="7" t="inlineStr">
        <is>
          <t>Bell-to-part distance</t>
        </is>
      </c>
      <c r="B27" s="8" t="inlineStr">
        <is>
          <t>mm</t>
        </is>
      </c>
      <c r="C27" s="20" t="inlineStr">
        <is>
          <t>Stand-off</t>
        </is>
      </c>
      <c r="D27" s="12" t="n">
        <v>250</v>
      </c>
      <c r="E27" s="12" t="n"/>
      <c r="F27" s="12" t="n"/>
      <c r="G27" s="12" t="n"/>
      <c r="H27" s="12" t="n"/>
    </row>
    <row r="28">
      <c r="A28" s="7" t="inlineStr">
        <is>
          <t>Paint viscosity</t>
        </is>
      </c>
      <c r="B28" s="8" t="inlineStr">
        <is>
          <t>s DIN4</t>
        </is>
      </c>
      <c r="C28" s="20" t="inlineStr">
        <is>
          <t>As-sprayed viscosity</t>
        </is>
      </c>
      <c r="D28" s="12" t="n">
        <v>22</v>
      </c>
      <c r="E28" s="12" t="n"/>
      <c r="F28" s="12" t="n"/>
      <c r="G28" s="12" t="n"/>
      <c r="H28" s="12" t="n"/>
    </row>
    <row r="29">
      <c r="A29" s="7" t="inlineStr">
        <is>
          <t>Paint temperature</t>
        </is>
      </c>
      <c r="B29" s="8" t="inlineStr">
        <is>
          <t>deg C</t>
        </is>
      </c>
      <c r="C29" s="20" t="inlineStr">
        <is>
          <t>Paint temp at applicator</t>
        </is>
      </c>
      <c r="D29" s="12" t="n">
        <v>23</v>
      </c>
      <c r="E29" s="12" t="n"/>
      <c r="F29" s="12" t="n"/>
      <c r="G29" s="12" t="n"/>
      <c r="H29" s="12" t="n"/>
    </row>
    <row r="30">
      <c r="A30" s="22" t="inlineStr">
        <is>
          <t>Paint FLOW rate  (Q)</t>
        </is>
      </c>
      <c r="B30" s="8" t="inlineStr">
        <is>
          <t>cc/min</t>
        </is>
      </c>
      <c r="C30" s="20" t="inlineStr">
        <is>
          <t>USED IN CALC</t>
        </is>
      </c>
      <c r="D30" s="12" t="n">
        <v>250</v>
      </c>
      <c r="E30" s="12" t="n"/>
      <c r="F30" s="12" t="n"/>
      <c r="G30" s="12" t="n"/>
      <c r="H30" s="12" t="n"/>
    </row>
    <row r="31">
      <c r="A31" s="22" t="inlineStr">
        <is>
          <t>Spray TIME  (t)</t>
        </is>
      </c>
      <c r="B31" s="8" t="inlineStr">
        <is>
          <t>s</t>
        </is>
      </c>
      <c r="C31" s="20" t="inlineStr">
        <is>
          <t>USED IN CALC</t>
        </is>
      </c>
      <c r="D31" s="12" t="n">
        <v>20</v>
      </c>
      <c r="E31" s="12" t="n"/>
      <c r="F31" s="12" t="n"/>
      <c r="G31" s="12" t="n"/>
      <c r="H31" s="12" t="n"/>
    </row>
    <row r="32">
      <c r="A32" s="19" t="inlineStr">
        <is>
          <t>Method A — PRACTICAL (gravimetric foil/panel):  weigh BEFORE and AFTER full cure</t>
        </is>
      </c>
    </row>
    <row r="33">
      <c r="A33" s="7" t="inlineStr">
        <is>
          <t>Weight BEFORE spraying  (W1)</t>
        </is>
      </c>
      <c r="B33" s="8" t="inlineStr">
        <is>
          <t>g</t>
        </is>
      </c>
      <c r="C33" s="20" t="inlineStr">
        <is>
          <t>Foil/panel tare weight</t>
        </is>
      </c>
      <c r="D33" s="9" t="n">
        <v>15</v>
      </c>
      <c r="E33" s="9" t="n"/>
      <c r="F33" s="9" t="n"/>
      <c r="G33" s="9" t="n"/>
      <c r="H33" s="9" t="n"/>
    </row>
    <row r="34">
      <c r="A34" s="7" t="inlineStr">
        <is>
          <t>Weight AFTER full cure  (W2)</t>
        </is>
      </c>
      <c r="B34" s="8" t="inlineStr">
        <is>
          <t>g</t>
        </is>
      </c>
      <c r="C34" s="20" t="inlineStr">
        <is>
          <t>After solvent fully baked off</t>
        </is>
      </c>
      <c r="D34" s="9" t="n">
        <v>31.32</v>
      </c>
      <c r="E34" s="9" t="n"/>
      <c r="F34" s="9" t="n"/>
      <c r="G34" s="9" t="n"/>
      <c r="H34" s="9" t="n"/>
    </row>
    <row r="35">
      <c r="A35" s="7" t="inlineStr">
        <is>
          <t>Deposited SOLIDS  Wp = W2 - W1</t>
        </is>
      </c>
      <c r="B35" s="8" t="inlineStr">
        <is>
          <t>g</t>
        </is>
      </c>
      <c r="C35" s="20" t="inlineStr">
        <is>
          <t>Wp = W2 - W1</t>
        </is>
      </c>
      <c r="D35" s="23">
        <f>IF(OR(D33="",D34=""),"",D34-D33)</f>
        <v/>
      </c>
      <c r="E35" s="23">
        <f>IF(OR(E33="",E34=""),"",E34-E33)</f>
        <v/>
      </c>
      <c r="F35" s="23">
        <f>IF(OR(F33="",F34=""),"",F34-F33)</f>
        <v/>
      </c>
      <c r="G35" s="23">
        <f>IF(OR(G33="",G34=""),"",G34-G33)</f>
        <v/>
      </c>
      <c r="H35" s="23">
        <f>IF(OR(H33="",H34=""),"",H34-H33)</f>
        <v/>
      </c>
    </row>
    <row r="36">
      <c r="A36" s="19" t="inlineStr">
        <is>
          <t>Method B — THEORETICAL (DFT x area):  dry-film thickness over the painted area</t>
        </is>
      </c>
    </row>
    <row r="37">
      <c r="A37" s="7" t="inlineStr">
        <is>
          <t>Applied area  (A)</t>
        </is>
      </c>
      <c r="B37" s="8" t="inlineStr">
        <is>
          <t>m2</t>
        </is>
      </c>
      <c r="C37" s="20" t="inlineStr">
        <is>
          <t>Area actually coated</t>
        </is>
      </c>
      <c r="D37" s="9" t="n">
        <v>0.6</v>
      </c>
      <c r="E37" s="9" t="n"/>
      <c r="F37" s="9" t="n"/>
      <c r="G37" s="9" t="n"/>
      <c r="H37" s="9" t="n"/>
    </row>
    <row r="38">
      <c r="A38" s="7" t="inlineStr">
        <is>
          <t>Measured DFT — average  (t_dry)</t>
        </is>
      </c>
      <c r="B38" s="8" t="inlineStr">
        <is>
          <t>um</t>
        </is>
      </c>
      <c r="C38" s="20" t="inlineStr">
        <is>
          <t>Mean of several gauge readings</t>
        </is>
      </c>
      <c r="D38" s="21" t="n">
        <v>19</v>
      </c>
      <c r="E38" s="21" t="n"/>
      <c r="F38" s="21" t="n"/>
      <c r="G38" s="21" t="n"/>
      <c r="H38" s="21" t="n"/>
    </row>
    <row r="39">
      <c r="A39" s="19" t="inlineStr">
        <is>
          <t>Computed — quantity sprayed</t>
        </is>
      </c>
    </row>
    <row r="40">
      <c r="A40" s="7" t="inlineStr">
        <is>
          <t>Delivered volume  V = Q x t / 60</t>
        </is>
      </c>
      <c r="B40" s="8" t="inlineStr">
        <is>
          <t>cc</t>
        </is>
      </c>
      <c r="C40" s="20" t="inlineStr">
        <is>
          <t>V = Q x t / 60 (as-sprayed mix)</t>
        </is>
      </c>
      <c r="D40" s="24">
        <f>IF(D30*D31=0,"",D30*D31/60)</f>
        <v/>
      </c>
      <c r="E40" s="24">
        <f>IF(E30*E31=0,"",E30*E31/60)</f>
        <v/>
      </c>
      <c r="F40" s="24">
        <f>IF(F30*F31=0,"",F30*F31/60)</f>
        <v/>
      </c>
      <c r="G40" s="24">
        <f>IF(G30*G31=0,"",G30*G31/60)</f>
        <v/>
      </c>
      <c r="H40" s="24">
        <f>IF(H30*H31=0,"",H30*H31/60)</f>
        <v/>
      </c>
    </row>
    <row r="41">
      <c r="A41" s="7" t="inlineStr">
        <is>
          <t>SOLIDS sprayed — volume</t>
        </is>
      </c>
      <c r="B41" s="8" t="inlineStr">
        <is>
          <t>cc</t>
        </is>
      </c>
      <c r="C41" s="20" t="inlineStr">
        <is>
          <t>V x VS_mix</t>
        </is>
      </c>
      <c r="D41" s="23">
        <f>IF(D40="","",D40*$C$14)</f>
        <v/>
      </c>
      <c r="E41" s="23">
        <f>IF(E40="","",E40*$C$14)</f>
        <v/>
      </c>
      <c r="F41" s="23">
        <f>IF(F40="","",F40*$C$14)</f>
        <v/>
      </c>
      <c r="G41" s="23">
        <f>IF(G40="","",G40*$C$14)</f>
        <v/>
      </c>
      <c r="H41" s="23">
        <f>IF(H40="","",H40*$C$14)</f>
        <v/>
      </c>
    </row>
    <row r="42">
      <c r="A42" s="7" t="inlineStr">
        <is>
          <t>SOLIDS sprayed — mass</t>
        </is>
      </c>
      <c r="B42" s="8" t="inlineStr">
        <is>
          <t>g</t>
        </is>
      </c>
      <c r="C42" s="20" t="inlineStr">
        <is>
          <t>V x rho_mix x WS_mix</t>
        </is>
      </c>
      <c r="D42" s="23">
        <f>IF(D40="","",D40*$C$15*$C$16)</f>
        <v/>
      </c>
      <c r="E42" s="23">
        <f>IF(E40="","",E40*$C$15*$C$16)</f>
        <v/>
      </c>
      <c r="F42" s="23">
        <f>IF(F40="","",F40*$C$15*$C$16)</f>
        <v/>
      </c>
      <c r="G42" s="23">
        <f>IF(G40="","",G40*$C$15*$C$16)</f>
        <v/>
      </c>
      <c r="H42" s="23">
        <f>IF(H40="","",H40*$C$15*$C$16)</f>
        <v/>
      </c>
    </row>
    <row r="43">
      <c r="A43" s="19" t="inlineStr">
        <is>
          <t>RESULTS — Transfer Efficiency</t>
        </is>
      </c>
    </row>
    <row r="44">
      <c r="A44" s="22" t="inlineStr">
        <is>
          <t>TE — Method A (gravimetric)</t>
        </is>
      </c>
      <c r="B44" s="8" t="inlineStr">
        <is>
          <t>%</t>
        </is>
      </c>
      <c r="C44" s="20" t="inlineStr">
        <is>
          <t>Wp / solids-mass-sprayed</t>
        </is>
      </c>
      <c r="D44" s="25">
        <f>IFERROR(D35/D42,"")</f>
        <v/>
      </c>
      <c r="E44" s="25">
        <f>IFERROR(E35/E42,"")</f>
        <v/>
      </c>
      <c r="F44" s="25">
        <f>IFERROR(F35/F42,"")</f>
        <v/>
      </c>
      <c r="G44" s="25">
        <f>IFERROR(G35/G42,"")</f>
        <v/>
      </c>
      <c r="H44" s="25">
        <f>IFERROR(H35/H42,"")</f>
        <v/>
      </c>
    </row>
    <row r="45">
      <c r="A45" s="22" t="inlineStr">
        <is>
          <t>TE — Method B (DFT / theoretical)</t>
        </is>
      </c>
      <c r="B45" s="8" t="inlineStr">
        <is>
          <t>%</t>
        </is>
      </c>
      <c r="C45" s="20" t="inlineStr">
        <is>
          <t>(A x DFT) / solids-volume-sprayed</t>
        </is>
      </c>
      <c r="D45" s="25">
        <f>IFERROR((D37*D38)/D41,"")</f>
        <v/>
      </c>
      <c r="E45" s="25">
        <f>IFERROR((E37*E38)/E41,"")</f>
        <v/>
      </c>
      <c r="F45" s="25">
        <f>IFERROR((F37*F38)/F41,"")</f>
        <v/>
      </c>
      <c r="G45" s="25">
        <f>IFERROR((G37*G38)/G41,"")</f>
        <v/>
      </c>
      <c r="H45" s="25">
        <f>IFERROR((H37*H38)/H41,"")</f>
        <v/>
      </c>
    </row>
    <row r="46">
      <c r="A46" s="22" t="inlineStr">
        <is>
          <t>Delta TE  (A - B)</t>
        </is>
      </c>
      <c r="B46" s="8" t="inlineStr">
        <is>
          <t>pts</t>
        </is>
      </c>
      <c r="C46" s="20" t="inlineStr">
        <is>
          <t>gap between methods (target ~ 0)</t>
        </is>
      </c>
      <c r="D46" s="26">
        <f>IF(OR(D44="",D45=""),"",D44-D45)</f>
        <v/>
      </c>
      <c r="E46" s="26">
        <f>IF(OR(E44="",E45=""),"",E44-E45)</f>
        <v/>
      </c>
      <c r="F46" s="26">
        <f>IF(OR(F44="",F45=""),"",F44-F45)</f>
        <v/>
      </c>
      <c r="G46" s="26">
        <f>IF(OR(G44="",G45=""),"",G44-G45)</f>
        <v/>
      </c>
      <c r="H46" s="26">
        <f>IF(OR(H44="",H45=""),"",H44-H45)</f>
        <v/>
      </c>
    </row>
    <row r="47">
      <c r="A47" s="22" t="inlineStr">
        <is>
          <t>Relative difference</t>
        </is>
      </c>
      <c r="B47" s="8" t="inlineStr">
        <is>
          <t>%</t>
        </is>
      </c>
      <c r="C47" s="20" t="inlineStr">
        <is>
          <t>(A - B) / B</t>
        </is>
      </c>
      <c r="D47" s="26">
        <f>IFERROR((D44-D45)/D45,"")</f>
        <v/>
      </c>
      <c r="E47" s="26">
        <f>IFERROR((E44-E45)/E45,"")</f>
        <v/>
      </c>
      <c r="F47" s="26">
        <f>IFERROR((F44-F45)/F45,"")</f>
        <v/>
      </c>
      <c r="G47" s="26">
        <f>IFERROR((G44-G45)/G45,"")</f>
        <v/>
      </c>
      <c r="H47" s="26">
        <f>IFERROR((H44-H45)/H45,"")</f>
        <v/>
      </c>
    </row>
    <row r="48">
      <c r="A48" s="19" t="inlineStr">
        <is>
          <t>RECONCILIATION — match theory vs practice</t>
        </is>
      </c>
    </row>
    <row r="49">
      <c r="A49" s="7" t="inlineStr">
        <is>
          <t>Deposited solids volume (from DFT)</t>
        </is>
      </c>
      <c r="B49" s="8" t="inlineStr">
        <is>
          <t>cc</t>
        </is>
      </c>
      <c r="C49" s="20" t="inlineStr">
        <is>
          <t>A x DFT</t>
        </is>
      </c>
      <c r="D49" s="23">
        <f>IF(OR(D37="",D38=""),"",D37*D38)</f>
        <v/>
      </c>
      <c r="E49" s="23">
        <f>IF(OR(E37="",E38=""),"",E37*E38)</f>
        <v/>
      </c>
      <c r="F49" s="23">
        <f>IF(OR(F37="",F38=""),"",F37*F38)</f>
        <v/>
      </c>
      <c r="G49" s="23">
        <f>IF(OR(G37="",G38=""),"",G37*G38)</f>
        <v/>
      </c>
      <c r="H49" s="23">
        <f>IF(OR(H37="",H38=""),"",H37*H38)</f>
        <v/>
      </c>
    </row>
    <row r="50">
      <c r="A50" s="7" t="inlineStr">
        <is>
          <t>DFT predicted from WEIGHT</t>
        </is>
      </c>
      <c r="B50" s="8" t="inlineStr">
        <is>
          <t>um</t>
        </is>
      </c>
      <c r="C50" s="20" t="inlineStr">
        <is>
          <t>Wp / (rho_solids x A)</t>
        </is>
      </c>
      <c r="D50" s="27">
        <f>IFERROR(D35/($C$17*D37),"")</f>
        <v/>
      </c>
      <c r="E50" s="27">
        <f>IFERROR(E35/($C$17*E37),"")</f>
        <v/>
      </c>
      <c r="F50" s="27">
        <f>IFERROR(F35/($C$17*F37),"")</f>
        <v/>
      </c>
      <c r="G50" s="27">
        <f>IFERROR(G35/($C$17*G37),"")</f>
        <v/>
      </c>
      <c r="H50" s="27">
        <f>IFERROR(H35/($C$17*H37),"")</f>
        <v/>
      </c>
    </row>
    <row r="51">
      <c r="A51" s="7" t="inlineStr">
        <is>
          <t>DFT match  (predicted - measured)</t>
        </is>
      </c>
      <c r="B51" s="8" t="inlineStr">
        <is>
          <t>um</t>
        </is>
      </c>
      <c r="C51" s="20" t="inlineStr">
        <is>
          <t>cross-check of the two methods (~ 0)</t>
        </is>
      </c>
      <c r="D51" s="27">
        <f>IF(OR(D50="",D38=""),"",D50-D38)</f>
        <v/>
      </c>
      <c r="E51" s="27">
        <f>IF(OR(E50="",E38=""),"",E50-E38)</f>
        <v/>
      </c>
      <c r="F51" s="27">
        <f>IF(OR(F50="",F38=""),"",F50-F38)</f>
        <v/>
      </c>
      <c r="G51" s="27">
        <f>IF(OR(G50="",G38=""),"",G50-G38)</f>
        <v/>
      </c>
      <c r="H51" s="27">
        <f>IF(OR(H50="",H38=""),"",H50-H38)</f>
        <v/>
      </c>
    </row>
    <row r="52">
      <c r="A52" s="7" t="inlineStr">
        <is>
          <t>Theoretical coverage @ measured DFT</t>
        </is>
      </c>
      <c r="B52" s="8" t="inlineStr">
        <is>
          <t>m2/L</t>
        </is>
      </c>
      <c r="C52" s="20" t="inlineStr">
        <is>
          <t>10 x VS% / DFT  (at 100% TE)</t>
        </is>
      </c>
      <c r="D52" s="24">
        <f>IFERROR(1000*$C$14/D38,"")</f>
        <v/>
      </c>
      <c r="E52" s="24">
        <f>IFERROR(1000*$C$14/E38,"")</f>
        <v/>
      </c>
      <c r="F52" s="24">
        <f>IFERROR(1000*$C$14/F38,"")</f>
        <v/>
      </c>
      <c r="G52" s="24">
        <f>IFERROR(1000*$C$14/G38,"")</f>
        <v/>
      </c>
      <c r="H52" s="24">
        <f>IFERROR(1000*$C$14/H38,"")</f>
        <v/>
      </c>
    </row>
    <row r="53">
      <c r="A53" s="7" t="inlineStr">
        <is>
          <t>Practical coverage achieved</t>
        </is>
      </c>
      <c r="B53" s="8" t="inlineStr">
        <is>
          <t>m2/L</t>
        </is>
      </c>
      <c r="C53" s="20" t="inlineStr">
        <is>
          <t>A x 1000 / V</t>
        </is>
      </c>
      <c r="D53" s="24">
        <f>IFERROR(D37*1000/D40,"")</f>
        <v/>
      </c>
      <c r="E53" s="24">
        <f>IFERROR(E37*1000/E40,"")</f>
        <v/>
      </c>
      <c r="F53" s="24">
        <f>IFERROR(F37*1000/F40,"")</f>
        <v/>
      </c>
      <c r="G53" s="24">
        <f>IFERROR(G37*1000/G40,"")</f>
        <v/>
      </c>
      <c r="H53" s="24">
        <f>IFERROR(H37*1000/H40,"")</f>
        <v/>
      </c>
    </row>
    <row r="54">
      <c r="A54" s="7" t="inlineStr">
        <is>
          <t>Coverage-ratio TE  (self-check = Method B)</t>
        </is>
      </c>
      <c r="B54" s="8" t="inlineStr">
        <is>
          <t>%</t>
        </is>
      </c>
      <c r="C54" s="20" t="inlineStr">
        <is>
          <t>practical / theoretical</t>
        </is>
      </c>
      <c r="D54" s="28">
        <f>IFERROR(D53/D52,"")</f>
        <v/>
      </c>
      <c r="E54" s="28">
        <f>IFERROR(E53/E52,"")</f>
        <v/>
      </c>
      <c r="F54" s="28">
        <f>IFERROR(F53/F52,"")</f>
        <v/>
      </c>
      <c r="G54" s="28">
        <f>IFERROR(G53/G52,"")</f>
        <v/>
      </c>
      <c r="H54" s="28">
        <f>IFERROR(H53/H52,"")</f>
        <v/>
      </c>
    </row>
    <row r="56">
      <c r="A56" s="4" t="inlineStr">
        <is>
          <t>HOW TO USE  &amp;  HOW THE TWO METHODS MATCH</t>
        </is>
      </c>
    </row>
    <row r="57" ht="26" customHeight="1">
      <c r="A57" s="29" t="inlineStr">
        <is>
          <t>Legend:</t>
        </is>
      </c>
      <c r="B57" s="30" t="inlineStr">
        <is>
          <t>Soft-YELLOW cell = you type here (blue text).  Plain cell = auto-calculated.  Green = the TE result.</t>
        </is>
      </c>
    </row>
    <row r="58" ht="39" customHeight="1">
      <c r="A58" s="29" t="inlineStr">
        <is>
          <t>Method A (practical / foil):</t>
        </is>
      </c>
      <c r="B58" s="30" t="inlineStr">
        <is>
          <t>Cover the part/panel with aluminium foil (ASTM D5066).  Weigh = W1.  Spray with the robot, logging every process parameter above.  Bake/cure until ALL solvent is gone.  Re-weigh = W2.  Deposited dry solids = W2 - W1.  TE(A) = (W2 - W1) / solids-mass-sprayed.</t>
        </is>
      </c>
    </row>
    <row r="59" ht="39" customHeight="1">
      <c r="A59" s="29" t="inlineStr">
        <is>
          <t>Method B (theoretical / DFT):</t>
        </is>
      </c>
      <c r="B59" s="30" t="inlineStr">
        <is>
          <t>Measure the coated area A and the average dry-film thickness (several gauge points).  Because 1 m2 x 1 um = 1 cc, the deposited solids volume = A x DFT.  TE(B) = (A x DFT) / solids-volume-sprayed.</t>
        </is>
      </c>
    </row>
    <row r="60" ht="52" customHeight="1">
      <c r="A60" s="29" t="inlineStr">
        <is>
          <t>Why they match:</t>
        </is>
      </c>
      <c r="B60" s="30" t="inlineStr">
        <is>
          <t>Both estimate the SAME thing - the fraction of sprayed solids that landed on the part - just via mass vs volume.  They are linked by rho_solids (row 17).  If TE(A) = TE(B) and 'DFT predicted from weight' = 'measured DFT', your data is internally consistent.  A large Delta TE flags a bad weight, wrong solids %, mis-measured area, or solvent not fully baked off.</t>
        </is>
      </c>
    </row>
    <row r="61" ht="26" customHeight="1">
      <c r="A61" s="29" t="inlineStr">
        <is>
          <t>Solids sprayed:</t>
        </is>
      </c>
      <c r="B61" s="30" t="inlineStr">
        <is>
          <t>Delivered volume V = Q x t / 60.  It is the AS-SPRAYED (thinned) material, so the sheet uses the mixed VS_mix / WS_mix / rho_mix from Section 1 - not the neat-paint values.</t>
        </is>
      </c>
    </row>
    <row r="62" ht="26" customHeight="1">
      <c r="A62" s="29" t="inlineStr">
        <is>
          <t>Typical TE:</t>
        </is>
      </c>
      <c r="B62" s="30" t="inlineStr">
        <is>
          <t>Air-spray ~25-40%, HVLP ~45-65%, electrostatic bell ~70-95% (higher voltage / lower flow / correct shaping air raise TE).</t>
        </is>
      </c>
    </row>
    <row r="63" ht="15" customHeight="1">
      <c r="A63" s="29" t="inlineStr">
        <is>
          <t>Caveat:</t>
        </is>
      </c>
      <c r="B63" s="30" t="inlineStr">
        <is>
          <t>Weigh W2 only after the film is FULLY cured; a wet weight includes solvent and overstates TE.</t>
        </is>
      </c>
    </row>
  </sheetData>
  <mergeCells count="19">
    <mergeCell ref="A48:H48"/>
    <mergeCell ref="A39:H39"/>
    <mergeCell ref="A36:H36"/>
    <mergeCell ref="A1:H1"/>
    <mergeCell ref="B63:H63"/>
    <mergeCell ref="B62:H62"/>
    <mergeCell ref="B59:H59"/>
    <mergeCell ref="A56:H56"/>
    <mergeCell ref="A3:H3"/>
    <mergeCell ref="A21:H21"/>
    <mergeCell ref="B58:H58"/>
    <mergeCell ref="A2:H2"/>
    <mergeCell ref="A5:H5"/>
    <mergeCell ref="A32:H32"/>
    <mergeCell ref="B60:H60"/>
    <mergeCell ref="B61:H61"/>
    <mergeCell ref="B57:H57"/>
    <mergeCell ref="A43:H43"/>
    <mergeCell ref="A19:H19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2026-08-05T06:04:08Z</dcterms:created>
  <dcterms:modified xsi:type="dcterms:W3CDTF">2026-08-05T06:04:08Z</dcterms:modified>
</cp:coreProperties>
</file>