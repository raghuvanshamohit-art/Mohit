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color rgb="00808080"/>
      <sz val="8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3864"/>
      <sz val="10"/>
    </font>
    <font>
      <name val="Arial"/>
      <i val="1"/>
      <color rgb="00808080"/>
      <sz val="8"/>
    </font>
    <font>
      <name val="Arial"/>
      <b val="1"/>
      <color rgb="00000000"/>
      <sz val="11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166" fontId="8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009C0006"/>
        <sz val="11"/>
      </font>
      <fill>
        <patternFill patternType="solid">
          <fgColor rgb="00FFC7CE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 Sheet</author>
  </authors>
  <commentList>
    <comment ref="C7" authorId="0" shapeId="0">
      <text>
        <t>Density of the paint as received (before thinning).</t>
      </text>
    </comment>
    <comment ref="C8" authorId="0" shapeId="0">
      <text>
        <t>Volume fraction of supplied paint that stays as dry film (from TDS).</t>
      </text>
    </comment>
    <comment ref="C9" authorId="0" shapeId="0">
      <text>
        <t>Weight fraction of non-volatiles (from TDS). NOTE: for most paints WS is a bit HIGHER than VS because solids are denser than solvent. You entered WS=VS=57%; only Method A (weight) depends on this - Method B (DFT) does not.</t>
      </text>
    </comment>
    <comment ref="C10" authorId="0" shapeId="0">
      <text>
        <t>Thinner density; assumed 100% volatile.</t>
      </text>
    </comment>
    <comment ref="C11" authorId="0" shapeId="0">
      <text>
        <t>Reduction recipe, e.g. 100:50.</t>
      </text>
    </comment>
    <comment ref="C12" authorId="0" shapeId="0">
      <text>
        <t>Reduction recipe, e.g. 100:50.</t>
      </text>
    </comment>
    <comment ref="C17" authorId="0" shapeId="0">
      <text>
        <t>rho_solids = rho_paint x WS_paint / VS_paint. Bridges the WEIGHT method and the DFT/VOLUME method.</t>
      </text>
    </comment>
    <comment ref="D32" authorId="0" shapeId="0">
      <text>
        <t>THIS is the usual error. For a whole area you must use the TOTAL paint-on time across ALL passes. A single 50 s pass under-counts paint and pushes TE over 100%. Better: use option B (totalizer) or C (paint weight) below.</t>
      </text>
    </comment>
    <comment ref="D33" authorId="0" shapeId="0">
      <text>
        <t>Best input: total cc dispensed to the bell over the WHOLE cycle, from the gear-pump / flow totalizer. Leave A blank if you use this.</t>
      </text>
    </comment>
    <comment ref="D34" authorId="0" shapeId="0">
      <text>
        <t>Weigh the paint consumed (pot before - after) and the sheet divides by rho_mix to get volume.</t>
      </text>
    </comment>
    <comment ref="D37" authorId="0" shapeId="0">
      <text>
        <t>Enter the real cured before-weight for THIS panel. (Left blank - Method A stays empty until you fill W1 and W2.)</t>
      </text>
    </comment>
    <comment ref="D41" authorId="0" shapeId="0">
      <text>
        <t>Confirmed correct = 12.92 m2 (whole part).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PAINT TRANSFER EFFICIENCY (TE) CALCULATOR  -  Robotic / Bell-Atomizer Solvent-Borne Application</t>
        </is>
      </c>
    </row>
    <row r="2" ht="28" customHeight="1">
      <c r="A2" s="2" t="inlineStr">
        <is>
          <t>Matches the PRACTICAL foil/gravimetric method (ASTM D5066) with the THEORETICAL DFT/volume-solids method on one sheet. Fill only the soft-yellow cells. TE over 100% is impossible - the sheet flags it in red.</t>
        </is>
      </c>
    </row>
    <row r="3" ht="16" customHeight="1">
      <c r="A3" s="3" t="inlineStr">
        <is>
          <t>TE = (paint SOLIDS deposited on part) / (paint SOLIDS sprayed) x 100.   Refs: ASTM D5066 / D5286 / D5327;  coverage identity  m2/L = 10 x VS% / DFT(um).</t>
        </is>
      </c>
    </row>
    <row r="5">
      <c r="A5" s="4" t="inlineStr">
        <is>
          <t>1)  MATERIAL &amp; MIX PROPERTIES   (global inputs - apply to all trials)</t>
        </is>
      </c>
    </row>
    <row r="6">
      <c r="A6" s="5" t="inlineStr">
        <is>
          <t>Parameter</t>
        </is>
      </c>
      <c r="B6" s="6" t="inlineStr">
        <is>
          <t>Unit</t>
        </is>
      </c>
      <c r="C6" s="5" t="inlineStr">
        <is>
          <t>Value / Formula</t>
        </is>
      </c>
      <c r="D6" s="6" t="inlineStr"/>
      <c r="E6" s="6" t="inlineStr"/>
      <c r="F6" s="6" t="inlineStr"/>
      <c r="G6" s="6" t="inlineStr"/>
      <c r="H6" s="6" t="inlineStr"/>
    </row>
    <row r="7">
      <c r="A7" s="7" t="inlineStr">
        <is>
          <t>Paint density  (rho_paint, as supplied)</t>
        </is>
      </c>
      <c r="B7" s="8" t="inlineStr">
        <is>
          <t>g/cc</t>
        </is>
      </c>
      <c r="C7" s="9" t="n">
        <v>1.2</v>
      </c>
      <c r="D7" s="10" t="inlineStr"/>
      <c r="E7" s="10" t="inlineStr"/>
      <c r="F7" s="10" t="inlineStr"/>
      <c r="G7" s="10" t="inlineStr"/>
      <c r="H7" s="10" t="inlineStr"/>
    </row>
    <row r="8">
      <c r="A8" s="7" t="inlineStr">
        <is>
          <t>Paint VOLUME solids  (VS_paint)</t>
        </is>
      </c>
      <c r="B8" s="8" t="inlineStr">
        <is>
          <t>%</t>
        </is>
      </c>
      <c r="C8" s="11" t="n">
        <v>0.57</v>
      </c>
      <c r="D8" s="10" t="inlineStr"/>
      <c r="E8" s="10" t="inlineStr"/>
      <c r="F8" s="10" t="inlineStr"/>
      <c r="G8" s="10" t="inlineStr"/>
      <c r="H8" s="10" t="inlineStr"/>
    </row>
    <row r="9">
      <c r="A9" s="7" t="inlineStr">
        <is>
          <t>Paint WEIGHT solids  (WS_paint)</t>
        </is>
      </c>
      <c r="B9" s="8" t="inlineStr">
        <is>
          <t>%</t>
        </is>
      </c>
      <c r="C9" s="11" t="n">
        <v>0.57</v>
      </c>
      <c r="D9" s="10" t="inlineStr"/>
      <c r="E9" s="10" t="inlineStr"/>
      <c r="F9" s="10" t="inlineStr"/>
      <c r="G9" s="10" t="inlineStr"/>
      <c r="H9" s="10" t="inlineStr"/>
    </row>
    <row r="10">
      <c r="A10" s="7" t="inlineStr">
        <is>
          <t>Thinner density  (rho_thinner)</t>
        </is>
      </c>
      <c r="B10" s="8" t="inlineStr">
        <is>
          <t>g/cc</t>
        </is>
      </c>
      <c r="C10" s="9" t="n">
        <v>0.87</v>
      </c>
      <c r="D10" s="10" t="inlineStr"/>
      <c r="E10" s="10" t="inlineStr"/>
      <c r="F10" s="10" t="inlineStr"/>
      <c r="G10" s="10" t="inlineStr"/>
      <c r="H10" s="10" t="inlineStr"/>
    </row>
    <row r="11">
      <c r="A11" s="7" t="inlineStr">
        <is>
          <t>Mix ratio - PAINT parts (by volume)</t>
        </is>
      </c>
      <c r="B11" s="8" t="inlineStr">
        <is>
          <t>parts</t>
        </is>
      </c>
      <c r="C11" s="12" t="n">
        <v>100</v>
      </c>
      <c r="D11" s="10" t="inlineStr"/>
      <c r="E11" s="10" t="inlineStr"/>
      <c r="F11" s="10" t="inlineStr"/>
      <c r="G11" s="10" t="inlineStr"/>
      <c r="H11" s="10" t="inlineStr"/>
    </row>
    <row r="12">
      <c r="A12" s="7" t="inlineStr">
        <is>
          <t>Mix ratio - THINNER parts (by volume)</t>
        </is>
      </c>
      <c r="B12" s="8" t="inlineStr">
        <is>
          <t>parts</t>
        </is>
      </c>
      <c r="C12" s="12" t="n">
        <v>50</v>
      </c>
      <c r="D12" s="10" t="inlineStr"/>
      <c r="E12" s="10" t="inlineStr"/>
      <c r="F12" s="10" t="inlineStr"/>
      <c r="G12" s="10" t="inlineStr"/>
      <c r="H12" s="10" t="inlineStr"/>
    </row>
    <row r="13">
      <c r="A13" s="13" t="inlineStr">
        <is>
          <t>-- derived automatically --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7" t="inlineStr">
        <is>
          <t>Mixed (as-sprayed) VOLUME solids  VS_mix</t>
        </is>
      </c>
      <c r="B14" s="8" t="inlineStr">
        <is>
          <t>%</t>
        </is>
      </c>
      <c r="C14" s="15">
        <f>C8*C11/(C11+C12)</f>
        <v/>
      </c>
      <c r="D14" s="10" t="inlineStr"/>
      <c r="E14" s="10" t="inlineStr"/>
      <c r="F14" s="10" t="inlineStr"/>
      <c r="G14" s="10" t="inlineStr"/>
      <c r="H14" s="10" t="inlineStr"/>
    </row>
    <row r="15">
      <c r="A15" s="7" t="inlineStr">
        <is>
          <t>Mixed (as-sprayed) density  rho_mix</t>
        </is>
      </c>
      <c r="B15" s="8" t="inlineStr">
        <is>
          <t>g/cc</t>
        </is>
      </c>
      <c r="C15" s="16">
        <f>(C7*C11+C10*C12)/(C11+C12)</f>
        <v/>
      </c>
      <c r="D15" s="10" t="inlineStr"/>
      <c r="E15" s="10" t="inlineStr"/>
      <c r="F15" s="10" t="inlineStr"/>
      <c r="G15" s="10" t="inlineStr"/>
      <c r="H15" s="10" t="inlineStr"/>
    </row>
    <row r="16">
      <c r="A16" s="7" t="inlineStr">
        <is>
          <t>Mixed (as-sprayed) WEIGHT solids  WS_mix</t>
        </is>
      </c>
      <c r="B16" s="8" t="inlineStr">
        <is>
          <t>%</t>
        </is>
      </c>
      <c r="C16" s="15">
        <f>(C7*C11*C9)/(C7*C11+C10*C12)</f>
        <v/>
      </c>
      <c r="D16" s="10" t="inlineStr"/>
      <c r="E16" s="10" t="inlineStr"/>
      <c r="F16" s="10" t="inlineStr"/>
      <c r="G16" s="10" t="inlineStr"/>
      <c r="H16" s="10" t="inlineStr"/>
    </row>
    <row r="17">
      <c r="A17" s="7" t="inlineStr">
        <is>
          <t>Dry-film (SOLIDS) density  rho_solids</t>
        </is>
      </c>
      <c r="B17" s="8" t="inlineStr">
        <is>
          <t>g/cc</t>
        </is>
      </c>
      <c r="C17" s="16">
        <f>C7*C9/C8</f>
        <v/>
      </c>
      <c r="D17" s="10" t="inlineStr"/>
      <c r="E17" s="10" t="inlineStr"/>
      <c r="F17" s="10" t="inlineStr"/>
      <c r="G17" s="10" t="inlineStr"/>
      <c r="H17" s="10" t="inlineStr"/>
    </row>
    <row r="18"/>
    <row r="19">
      <c r="A19" s="4" t="inlineStr">
        <is>
          <t>2)  TRIAL LOG   (one column per spray test - Trial 1 pre-filled with your data)</t>
        </is>
      </c>
    </row>
    <row r="20" ht="26" customHeight="1">
      <c r="A20" s="5" t="inlineStr">
        <is>
          <t>Parameter</t>
        </is>
      </c>
      <c r="B20" s="6" t="inlineStr">
        <is>
          <t>Unit</t>
        </is>
      </c>
      <c r="C20" s="17" t="inlineStr">
        <is>
          <t>Formula / note</t>
        </is>
      </c>
      <c r="D20" s="18" t="inlineStr">
        <is>
          <t>Trial 1 (yours)</t>
        </is>
      </c>
      <c r="E20" s="6" t="inlineStr">
        <is>
          <t>Trial 2</t>
        </is>
      </c>
      <c r="F20" s="6" t="inlineStr">
        <is>
          <t>Trial 3</t>
        </is>
      </c>
      <c r="G20" s="6" t="inlineStr">
        <is>
          <t>Trial 4</t>
        </is>
      </c>
      <c r="H20" s="6" t="inlineStr">
        <is>
          <t>Trial 5</t>
        </is>
      </c>
    </row>
    <row r="21">
      <c r="A21" s="19" t="inlineStr">
        <is>
          <t>Process / robot parameters   (logged for correlation - only paint volume enters the TE math)</t>
        </is>
      </c>
    </row>
    <row r="22">
      <c r="A22" s="7" t="inlineStr">
        <is>
          <t>Bell / turbine speed</t>
        </is>
      </c>
      <c r="B22" s="8" t="inlineStr">
        <is>
          <t>krpm</t>
        </is>
      </c>
      <c r="C22" s="20" t="inlineStr">
        <is>
          <t>atomizer rotation speed</t>
        </is>
      </c>
      <c r="D22" s="12" t="n">
        <v>28</v>
      </c>
      <c r="E22" s="12" t="n"/>
      <c r="F22" s="12" t="n"/>
      <c r="G22" s="12" t="n"/>
      <c r="H22" s="12" t="n"/>
    </row>
    <row r="23">
      <c r="A23" s="7" t="inlineStr">
        <is>
          <t>Shaping air - inner (shape-in)</t>
        </is>
      </c>
      <c r="B23" s="8" t="inlineStr">
        <is>
          <t>NL/min</t>
        </is>
      </c>
      <c r="C23" s="20" t="inlineStr">
        <is>
          <t>inner shaping-air flow</t>
        </is>
      </c>
      <c r="D23" s="12" t="n">
        <v>400</v>
      </c>
      <c r="E23" s="12" t="n"/>
      <c r="F23" s="12" t="n"/>
      <c r="G23" s="12" t="n"/>
      <c r="H23" s="12" t="n"/>
    </row>
    <row r="24">
      <c r="A24" s="7" t="inlineStr">
        <is>
          <t>Shaping air - outer (shape-out)</t>
        </is>
      </c>
      <c r="B24" s="8" t="inlineStr">
        <is>
          <t>NL/min</t>
        </is>
      </c>
      <c r="C24" s="20" t="inlineStr">
        <is>
          <t>outer shaping-air flow</t>
        </is>
      </c>
      <c r="D24" s="12" t="n">
        <v>200</v>
      </c>
      <c r="E24" s="12" t="n"/>
      <c r="F24" s="12" t="n"/>
      <c r="G24" s="12" t="n"/>
      <c r="H24" s="12" t="n"/>
    </row>
    <row r="25">
      <c r="A25" s="7" t="inlineStr">
        <is>
          <t>Atomizing / turbine air pressure</t>
        </is>
      </c>
      <c r="B25" s="8" t="inlineStr">
        <is>
          <t>bar</t>
        </is>
      </c>
      <c r="C25" s="20" t="inlineStr">
        <is>
          <t>drive/atomizing air</t>
        </is>
      </c>
      <c r="D25" s="21" t="n">
        <v>4.5</v>
      </c>
      <c r="E25" s="21" t="n"/>
      <c r="F25" s="21" t="n"/>
      <c r="G25" s="21" t="n"/>
      <c r="H25" s="21" t="n"/>
    </row>
    <row r="26">
      <c r="A26" s="7" t="inlineStr">
        <is>
          <t>Electrostatic high voltage</t>
        </is>
      </c>
      <c r="B26" s="8" t="inlineStr">
        <is>
          <t>kV</t>
        </is>
      </c>
      <c r="C26" s="20" t="inlineStr">
        <is>
          <t>0 if non-electrostatic</t>
        </is>
      </c>
      <c r="D26" s="12" t="n">
        <v>60</v>
      </c>
      <c r="E26" s="12" t="n"/>
      <c r="F26" s="12" t="n"/>
      <c r="G26" s="12" t="n"/>
      <c r="H26" s="12" t="n"/>
    </row>
    <row r="27">
      <c r="A27" s="7" t="inlineStr">
        <is>
          <t>Bell-to-part distance</t>
        </is>
      </c>
      <c r="B27" s="8" t="inlineStr">
        <is>
          <t>mm</t>
        </is>
      </c>
      <c r="C27" s="20" t="inlineStr">
        <is>
          <t>stand-off</t>
        </is>
      </c>
      <c r="D27" s="12" t="n">
        <v>200</v>
      </c>
      <c r="E27" s="12" t="n"/>
      <c r="F27" s="12" t="n"/>
      <c r="G27" s="12" t="n"/>
      <c r="H27" s="12" t="n"/>
    </row>
    <row r="28">
      <c r="A28" s="7" t="inlineStr">
        <is>
          <t>Paint viscosity</t>
        </is>
      </c>
      <c r="B28" s="8" t="inlineStr">
        <is>
          <t>s DIN4</t>
        </is>
      </c>
      <c r="C28" s="20" t="inlineStr">
        <is>
          <t>as-sprayed viscosity</t>
        </is>
      </c>
      <c r="D28" s="12" t="n">
        <v>22</v>
      </c>
      <c r="E28" s="12" t="n"/>
      <c r="F28" s="12" t="n"/>
      <c r="G28" s="12" t="n"/>
      <c r="H28" s="12" t="n"/>
    </row>
    <row r="29">
      <c r="A29" s="7" t="inlineStr">
        <is>
          <t>Paint temperature</t>
        </is>
      </c>
      <c r="B29" s="8" t="inlineStr">
        <is>
          <t>deg C</t>
        </is>
      </c>
      <c r="C29" s="20" t="inlineStr">
        <is>
          <t>paint temp at applicator</t>
        </is>
      </c>
      <c r="D29" s="12" t="n">
        <v>29</v>
      </c>
      <c r="E29" s="12" t="n"/>
      <c r="F29" s="12" t="n"/>
      <c r="G29" s="12" t="n"/>
      <c r="H29" s="12" t="n"/>
    </row>
    <row r="30">
      <c r="A30" s="19" t="inlineStr">
        <is>
          <t>PAINT DELIVERED   (enter ONE method; priority  B &gt; C &gt; A)</t>
        </is>
      </c>
    </row>
    <row r="31">
      <c r="A31" s="22" t="inlineStr">
        <is>
          <t>A) Flow rate  (Q)</t>
        </is>
      </c>
      <c r="B31" s="8" t="inlineStr">
        <is>
          <t>cc/min</t>
        </is>
      </c>
      <c r="C31" s="20" t="inlineStr">
        <is>
          <t>option A: Q x t / 60</t>
        </is>
      </c>
      <c r="D31" s="12" t="n">
        <v>350</v>
      </c>
      <c r="E31" s="12" t="n"/>
      <c r="F31" s="12" t="n"/>
      <c r="G31" s="12" t="n"/>
      <c r="H31" s="12" t="n"/>
    </row>
    <row r="32">
      <c r="A32" s="22" t="inlineStr">
        <is>
          <t>A) Paint-on TIME - TOTAL (all passes)</t>
        </is>
      </c>
      <c r="B32" s="8" t="inlineStr">
        <is>
          <t>s</t>
        </is>
      </c>
      <c r="C32" s="20" t="inlineStr">
        <is>
          <t>use TOTAL trigger-on time, not one pass</t>
        </is>
      </c>
      <c r="D32" s="12" t="n">
        <v>50</v>
      </c>
      <c r="E32" s="12" t="n"/>
      <c r="F32" s="12" t="n"/>
      <c r="G32" s="12" t="n"/>
      <c r="H32" s="12" t="n"/>
    </row>
    <row r="33">
      <c r="A33" s="7" t="inlineStr">
        <is>
          <t>B) Total paint delivered - DIRECT</t>
        </is>
      </c>
      <c r="B33" s="8" t="inlineStr">
        <is>
          <t>cc</t>
        </is>
      </c>
      <c r="C33" s="20" t="inlineStr">
        <is>
          <t>option B (pump totalizer) - preferred</t>
        </is>
      </c>
      <c r="D33" s="12" t="n"/>
      <c r="E33" s="12" t="n"/>
      <c r="F33" s="12" t="n"/>
      <c r="G33" s="12" t="n"/>
      <c r="H33" s="12" t="n"/>
    </row>
    <row r="34">
      <c r="A34" s="7" t="inlineStr">
        <is>
          <t>C) Paint USED - by weight</t>
        </is>
      </c>
      <c r="B34" s="8" t="inlineStr">
        <is>
          <t>g</t>
        </is>
      </c>
      <c r="C34" s="20" t="inlineStr">
        <is>
          <t>option C: weight / rho_mix</t>
        </is>
      </c>
      <c r="D34" s="21" t="n"/>
      <c r="E34" s="21" t="n"/>
      <c r="F34" s="21" t="n"/>
      <c r="G34" s="21" t="n"/>
      <c r="H34" s="21" t="n"/>
    </row>
    <row r="35">
      <c r="A35" s="7" t="inlineStr">
        <is>
          <t>Delivered volume  V</t>
        </is>
      </c>
      <c r="B35" s="8" t="inlineStr">
        <is>
          <t>cc</t>
        </is>
      </c>
      <c r="C35" s="20" t="inlineStr">
        <is>
          <t>picks B, else C/rho_mix, else A</t>
        </is>
      </c>
      <c r="D35" s="23">
        <f>IF(D33&lt;&gt;"",D33,IF(D34&lt;&gt;"",D34/$C$15,IF(D31*D32=0,"",D31*D32/60)))</f>
        <v/>
      </c>
      <c r="E35" s="23">
        <f>IF(E33&lt;&gt;"",E33,IF(E34&lt;&gt;"",E34/$C$15,IF(E31*E32=0,"",E31*E32/60)))</f>
        <v/>
      </c>
      <c r="F35" s="23">
        <f>IF(F33&lt;&gt;"",F33,IF(F34&lt;&gt;"",F34/$C$15,IF(F31*F32=0,"",F31*F32/60)))</f>
        <v/>
      </c>
      <c r="G35" s="23">
        <f>IF(G33&lt;&gt;"",G33,IF(G34&lt;&gt;"",G34/$C$15,IF(G31*G32=0,"",G31*G32/60)))</f>
        <v/>
      </c>
      <c r="H35" s="23">
        <f>IF(H33&lt;&gt;"",H33,IF(H34&lt;&gt;"",H34/$C$15,IF(H31*H32=0,"",H31*H32/60)))</f>
        <v/>
      </c>
    </row>
    <row r="36">
      <c r="A36" s="19" t="inlineStr">
        <is>
          <t>Method A - PRACTICAL (gravimetric foil/panel):  weigh BEFORE and AFTER full cure</t>
        </is>
      </c>
    </row>
    <row r="37">
      <c r="A37" s="7" t="inlineStr">
        <is>
          <t>Weight BEFORE spraying  (W1)</t>
        </is>
      </c>
      <c r="B37" s="8" t="inlineStr">
        <is>
          <t>g</t>
        </is>
      </c>
      <c r="C37" s="20" t="inlineStr">
        <is>
          <t>foil/panel tare weight</t>
        </is>
      </c>
      <c r="D37" s="9" t="n"/>
      <c r="E37" s="9" t="n"/>
      <c r="F37" s="9" t="n"/>
      <c r="G37" s="9" t="n"/>
      <c r="H37" s="9" t="n"/>
    </row>
    <row r="38">
      <c r="A38" s="7" t="inlineStr">
        <is>
          <t>Weight AFTER full cure  (W2)</t>
        </is>
      </c>
      <c r="B38" s="8" t="inlineStr">
        <is>
          <t>g</t>
        </is>
      </c>
      <c r="C38" s="20" t="inlineStr">
        <is>
          <t>after solvent fully baked off</t>
        </is>
      </c>
      <c r="D38" s="9" t="n"/>
      <c r="E38" s="9" t="n"/>
      <c r="F38" s="9" t="n"/>
      <c r="G38" s="9" t="n"/>
      <c r="H38" s="9" t="n"/>
    </row>
    <row r="39">
      <c r="A39" s="7" t="inlineStr">
        <is>
          <t>Deposited SOLIDS  Wp = W2 - W1</t>
        </is>
      </c>
      <c r="B39" s="8" t="inlineStr">
        <is>
          <t>g</t>
        </is>
      </c>
      <c r="C39" s="20" t="inlineStr">
        <is>
          <t>Wp = W2 - W1</t>
        </is>
      </c>
      <c r="D39" s="24">
        <f>IF(OR(D37="",D38=""),"",D38-D37)</f>
        <v/>
      </c>
      <c r="E39" s="24">
        <f>IF(OR(E37="",E38=""),"",E38-E37)</f>
        <v/>
      </c>
      <c r="F39" s="24">
        <f>IF(OR(F37="",F38=""),"",F38-F37)</f>
        <v/>
      </c>
      <c r="G39" s="24">
        <f>IF(OR(G37="",G38=""),"",G38-G37)</f>
        <v/>
      </c>
      <c r="H39" s="24">
        <f>IF(OR(H37="",H38=""),"",H38-H37)</f>
        <v/>
      </c>
    </row>
    <row r="40">
      <c r="A40" s="19" t="inlineStr">
        <is>
          <t>Method B - THEORETICAL (DFT x area):  dry-film thickness over the painted area</t>
        </is>
      </c>
    </row>
    <row r="41">
      <c r="A41" s="7" t="inlineStr">
        <is>
          <t>Applied area  (A)</t>
        </is>
      </c>
      <c r="B41" s="8" t="inlineStr">
        <is>
          <t>m2</t>
        </is>
      </c>
      <c r="C41" s="20" t="inlineStr">
        <is>
          <t>area actually coated</t>
        </is>
      </c>
      <c r="D41" s="9" t="n">
        <v>12.92</v>
      </c>
      <c r="E41" s="9" t="n"/>
      <c r="F41" s="9" t="n"/>
      <c r="G41" s="9" t="n"/>
      <c r="H41" s="9" t="n"/>
    </row>
    <row r="42">
      <c r="A42" s="7" t="inlineStr">
        <is>
          <t>Measured DFT - average  (t_dry)</t>
        </is>
      </c>
      <c r="B42" s="8" t="inlineStr">
        <is>
          <t>um</t>
        </is>
      </c>
      <c r="C42" s="20" t="inlineStr">
        <is>
          <t>mean of several gauge readings</t>
        </is>
      </c>
      <c r="D42" s="21" t="n">
        <v>16</v>
      </c>
      <c r="E42" s="21" t="n"/>
      <c r="F42" s="21" t="n"/>
      <c r="G42" s="21" t="n"/>
      <c r="H42" s="21" t="n"/>
    </row>
    <row r="43">
      <c r="A43" s="19" t="inlineStr">
        <is>
          <t>Computed - quantity sprayed</t>
        </is>
      </c>
    </row>
    <row r="44">
      <c r="A44" s="7" t="inlineStr">
        <is>
          <t>SOLIDS sprayed - volume</t>
        </is>
      </c>
      <c r="B44" s="8" t="inlineStr">
        <is>
          <t>cc</t>
        </is>
      </c>
      <c r="C44" s="20" t="inlineStr">
        <is>
          <t>V x VS_mix</t>
        </is>
      </c>
      <c r="D44" s="24">
        <f>IF(D35="","",D35*$C$14)</f>
        <v/>
      </c>
      <c r="E44" s="24">
        <f>IF(E35="","",E35*$C$14)</f>
        <v/>
      </c>
      <c r="F44" s="24">
        <f>IF(F35="","",F35*$C$14)</f>
        <v/>
      </c>
      <c r="G44" s="24">
        <f>IF(G35="","",G35*$C$14)</f>
        <v/>
      </c>
      <c r="H44" s="24">
        <f>IF(H35="","",H35*$C$14)</f>
        <v/>
      </c>
    </row>
    <row r="45">
      <c r="A45" s="7" t="inlineStr">
        <is>
          <t>SOLIDS sprayed - mass</t>
        </is>
      </c>
      <c r="B45" s="8" t="inlineStr">
        <is>
          <t>g</t>
        </is>
      </c>
      <c r="C45" s="20" t="inlineStr">
        <is>
          <t>V x rho_mix x WS_mix</t>
        </is>
      </c>
      <c r="D45" s="24">
        <f>IF(D35="","",D35*$C$15*$C$16)</f>
        <v/>
      </c>
      <c r="E45" s="24">
        <f>IF(E35="","",E35*$C$15*$C$16)</f>
        <v/>
      </c>
      <c r="F45" s="24">
        <f>IF(F35="","",F35*$C$15*$C$16)</f>
        <v/>
      </c>
      <c r="G45" s="24">
        <f>IF(G35="","",G35*$C$15*$C$16)</f>
        <v/>
      </c>
      <c r="H45" s="24">
        <f>IF(H35="","",H35*$C$15*$C$16)</f>
        <v/>
      </c>
    </row>
    <row r="46">
      <c r="A46" s="19" t="inlineStr">
        <is>
          <t>RESULTS - Transfer Efficiency</t>
        </is>
      </c>
    </row>
    <row r="47">
      <c r="A47" s="22" t="inlineStr">
        <is>
          <t>TE - Method A (gravimetric)</t>
        </is>
      </c>
      <c r="B47" s="8" t="inlineStr">
        <is>
          <t>%</t>
        </is>
      </c>
      <c r="C47" s="20" t="inlineStr">
        <is>
          <t>Wp / solids-mass-sprayed</t>
        </is>
      </c>
      <c r="D47" s="25">
        <f>IFERROR(D39/D45,"")</f>
        <v/>
      </c>
      <c r="E47" s="25">
        <f>IFERROR(E39/E45,"")</f>
        <v/>
      </c>
      <c r="F47" s="25">
        <f>IFERROR(F39/F45,"")</f>
        <v/>
      </c>
      <c r="G47" s="25">
        <f>IFERROR(G39/G45,"")</f>
        <v/>
      </c>
      <c r="H47" s="25">
        <f>IFERROR(H39/H45,"")</f>
        <v/>
      </c>
    </row>
    <row r="48">
      <c r="A48" s="22" t="inlineStr">
        <is>
          <t>TE - Method B (DFT / theoretical)</t>
        </is>
      </c>
      <c r="B48" s="8" t="inlineStr">
        <is>
          <t>%</t>
        </is>
      </c>
      <c r="C48" s="20" t="inlineStr">
        <is>
          <t>(A x DFT) / solids-volume-sprayed</t>
        </is>
      </c>
      <c r="D48" s="25">
        <f>IFERROR((D41*D42)/D44,"")</f>
        <v/>
      </c>
      <c r="E48" s="25">
        <f>IFERROR((E41*E42)/E44,"")</f>
        <v/>
      </c>
      <c r="F48" s="25">
        <f>IFERROR((F41*F42)/F44,"")</f>
        <v/>
      </c>
      <c r="G48" s="25">
        <f>IFERROR((G41*G42)/G44,"")</f>
        <v/>
      </c>
      <c r="H48" s="25">
        <f>IFERROR((H41*H42)/H44,"")</f>
        <v/>
      </c>
    </row>
    <row r="49">
      <c r="A49" s="22" t="inlineStr">
        <is>
          <t>Delta TE  (A - B)</t>
        </is>
      </c>
      <c r="B49" s="8" t="inlineStr">
        <is>
          <t>pts</t>
        </is>
      </c>
      <c r="C49" s="20" t="inlineStr">
        <is>
          <t>gap between methods (target ~ 0)</t>
        </is>
      </c>
      <c r="D49" s="26">
        <f>IF(OR(D47="",D48=""),"",D47-D48)</f>
        <v/>
      </c>
      <c r="E49" s="26">
        <f>IF(OR(E47="",E48=""),"",E47-E48)</f>
        <v/>
      </c>
      <c r="F49" s="26">
        <f>IF(OR(F47="",F48=""),"",F47-F48)</f>
        <v/>
      </c>
      <c r="G49" s="26">
        <f>IF(OR(G47="",G48=""),"",G47-G48)</f>
        <v/>
      </c>
      <c r="H49" s="26">
        <f>IF(OR(H47="",H48=""),"",H47-H48)</f>
        <v/>
      </c>
    </row>
    <row r="50">
      <c r="A50" s="22" t="inlineStr">
        <is>
          <t>Relative difference</t>
        </is>
      </c>
      <c r="B50" s="8" t="inlineStr">
        <is>
          <t>%</t>
        </is>
      </c>
      <c r="C50" s="20" t="inlineStr">
        <is>
          <t>(A - B) / B</t>
        </is>
      </c>
      <c r="D50" s="26">
        <f>IFERROR((D47-D48)/D48,"")</f>
        <v/>
      </c>
      <c r="E50" s="26">
        <f>IFERROR((E47-E48)/E48,"")</f>
        <v/>
      </c>
      <c r="F50" s="26">
        <f>IFERROR((F47-F48)/F48,"")</f>
        <v/>
      </c>
      <c r="G50" s="26">
        <f>IFERROR((G47-G48)/G48,"")</f>
        <v/>
      </c>
      <c r="H50" s="26">
        <f>IFERROR((H47-H48)/H48,"")</f>
        <v/>
      </c>
    </row>
    <row r="51" ht="26" customHeight="1">
      <c r="A51" s="27" t="inlineStr">
        <is>
          <t>SANITY CHECK</t>
        </is>
      </c>
      <c r="B51" s="14" t="inlineStr"/>
      <c r="C51" s="20" t="inlineStr">
        <is>
          <t>auto-flags impossible results</t>
        </is>
      </c>
      <c r="D51" s="28">
        <f>IF(D48="","",IF(D48&gt;1,"CHECK: TE(B)&gt;100% - area/DFT too high OR paint volume too low",IF(AND(ISNUMBER(D47),D47&gt;1),"CHECK: TE(A)&gt;100%",IF(AND(ISNUMBER(D47),ABS(D47-D48)&gt;0.1),"Methods disagree &gt;10 pts - check data","OK"))))</f>
        <v/>
      </c>
      <c r="E51" s="29" t="n"/>
      <c r="F51" s="29" t="n"/>
      <c r="G51" s="29" t="n"/>
      <c r="H51" s="30" t="n"/>
    </row>
    <row r="52">
      <c r="A52" s="19" t="inlineStr">
        <is>
          <t>RECONCILIATION - match theory vs practice</t>
        </is>
      </c>
    </row>
    <row r="53">
      <c r="A53" s="7" t="inlineStr">
        <is>
          <t>Deposited solids volume (from DFT)</t>
        </is>
      </c>
      <c r="B53" s="8" t="inlineStr">
        <is>
          <t>cc</t>
        </is>
      </c>
      <c r="C53" s="20" t="inlineStr">
        <is>
          <t>A x DFT</t>
        </is>
      </c>
      <c r="D53" s="24">
        <f>IF(OR(D41="",D42=""),"",D41*D42)</f>
        <v/>
      </c>
      <c r="E53" s="24">
        <f>IF(OR(E41="",E42=""),"",E41*E42)</f>
        <v/>
      </c>
      <c r="F53" s="24">
        <f>IF(OR(F41="",F42=""),"",F41*F42)</f>
        <v/>
      </c>
      <c r="G53" s="24">
        <f>IF(OR(G41="",G42=""),"",G41*G42)</f>
        <v/>
      </c>
      <c r="H53" s="24">
        <f>IF(OR(H41="",H42=""),"",H41*H42)</f>
        <v/>
      </c>
    </row>
    <row r="54">
      <c r="A54" s="7" t="inlineStr">
        <is>
          <t>DFT predicted from WEIGHT</t>
        </is>
      </c>
      <c r="B54" s="8" t="inlineStr">
        <is>
          <t>um</t>
        </is>
      </c>
      <c r="C54" s="20" t="inlineStr">
        <is>
          <t>Wp / (rho_solids x A)</t>
        </is>
      </c>
      <c r="D54" s="31">
        <f>IFERROR(D39/($C$17*D41),"")</f>
        <v/>
      </c>
      <c r="E54" s="31">
        <f>IFERROR(E39/($C$17*E41),"")</f>
        <v/>
      </c>
      <c r="F54" s="31">
        <f>IFERROR(F39/($C$17*F41),"")</f>
        <v/>
      </c>
      <c r="G54" s="31">
        <f>IFERROR(G39/($C$17*G41),"")</f>
        <v/>
      </c>
      <c r="H54" s="31">
        <f>IFERROR(H39/($C$17*H41),"")</f>
        <v/>
      </c>
    </row>
    <row r="55">
      <c r="A55" s="7" t="inlineStr">
        <is>
          <t>DFT match  (predicted - measured)</t>
        </is>
      </c>
      <c r="B55" s="8" t="inlineStr">
        <is>
          <t>um</t>
        </is>
      </c>
      <c r="C55" s="20" t="inlineStr">
        <is>
          <t>cross-check of the two methods (~ 0)</t>
        </is>
      </c>
      <c r="D55" s="31">
        <f>IF(OR(D54="",D42=""),"",D54-D42)</f>
        <v/>
      </c>
      <c r="E55" s="31">
        <f>IF(OR(E54="",E42=""),"",E54-E42)</f>
        <v/>
      </c>
      <c r="F55" s="31">
        <f>IF(OR(F54="",F42=""),"",F54-F42)</f>
        <v/>
      </c>
      <c r="G55" s="31">
        <f>IF(OR(G54="",G42=""),"",G54-G42)</f>
        <v/>
      </c>
      <c r="H55" s="31">
        <f>IF(OR(H54="",H42=""),"",H54-H42)</f>
        <v/>
      </c>
    </row>
    <row r="56">
      <c r="A56" s="7" t="inlineStr">
        <is>
          <t>Theoretical coverage @ measured DFT</t>
        </is>
      </c>
      <c r="B56" s="8" t="inlineStr">
        <is>
          <t>m2/L</t>
        </is>
      </c>
      <c r="C56" s="20" t="inlineStr">
        <is>
          <t>10 x VS% / DFT  (at 100% TE)</t>
        </is>
      </c>
      <c r="D56" s="23">
        <f>IFERROR(1000*$C$14/D42,"")</f>
        <v/>
      </c>
      <c r="E56" s="23">
        <f>IFERROR(1000*$C$14/E42,"")</f>
        <v/>
      </c>
      <c r="F56" s="23">
        <f>IFERROR(1000*$C$14/F42,"")</f>
        <v/>
      </c>
      <c r="G56" s="23">
        <f>IFERROR(1000*$C$14/G42,"")</f>
        <v/>
      </c>
      <c r="H56" s="23">
        <f>IFERROR(1000*$C$14/H42,"")</f>
        <v/>
      </c>
    </row>
    <row r="57">
      <c r="A57" s="7" t="inlineStr">
        <is>
          <t>Practical coverage achieved</t>
        </is>
      </c>
      <c r="B57" s="8" t="inlineStr">
        <is>
          <t>m2/L</t>
        </is>
      </c>
      <c r="C57" s="20" t="inlineStr">
        <is>
          <t>A x 1000 / V</t>
        </is>
      </c>
      <c r="D57" s="23">
        <f>IFERROR(D41*1000/D35,"")</f>
        <v/>
      </c>
      <c r="E57" s="23">
        <f>IFERROR(E41*1000/E35,"")</f>
        <v/>
      </c>
      <c r="F57" s="23">
        <f>IFERROR(F41*1000/F35,"")</f>
        <v/>
      </c>
      <c r="G57" s="23">
        <f>IFERROR(G41*1000/G35,"")</f>
        <v/>
      </c>
      <c r="H57" s="23">
        <f>IFERROR(H41*1000/H35,"")</f>
        <v/>
      </c>
    </row>
    <row r="58">
      <c r="A58" s="7" t="inlineStr">
        <is>
          <t>Coverage-ratio TE  (self-check = Method B)</t>
        </is>
      </c>
      <c r="B58" s="8" t="inlineStr">
        <is>
          <t>%</t>
        </is>
      </c>
      <c r="C58" s="20" t="inlineStr">
        <is>
          <t>practical / theoretical</t>
        </is>
      </c>
      <c r="D58" s="32">
        <f>IFERROR(D57/D56,"")</f>
        <v/>
      </c>
      <c r="E58" s="32">
        <f>IFERROR(E57/E56,"")</f>
        <v/>
      </c>
      <c r="F58" s="32">
        <f>IFERROR(F57/F56,"")</f>
        <v/>
      </c>
      <c r="G58" s="32">
        <f>IFERROR(G57/G56,"")</f>
        <v/>
      </c>
      <c r="H58" s="32">
        <f>IFERROR(H57/H56,"")</f>
        <v/>
      </c>
    </row>
    <row r="60">
      <c r="A60" s="4" t="inlineStr">
        <is>
          <t>HOW TO USE  &amp;  HOW THE TWO METHODS MATCH</t>
        </is>
      </c>
    </row>
    <row r="61" ht="26" customHeight="1">
      <c r="A61" s="28" t="inlineStr">
        <is>
          <t>Legend:</t>
        </is>
      </c>
      <c r="B61" s="33" t="inlineStr">
        <is>
          <t>Soft-YELLOW = you type here (blue text). Plain = auto-calculated. Green = the TE result. Red = an impossible value to fix.</t>
        </is>
      </c>
    </row>
    <row r="62" ht="52" customHeight="1">
      <c r="A62" s="28" t="inlineStr">
        <is>
          <t>Paint delivered (KEY):</t>
        </is>
      </c>
      <c r="B62" s="33" t="inlineStr">
        <is>
          <t>V must be ALL the mixed paint sprayed while coating area A. Best: option B = pump/totalizer cc over the whole cycle. Or option C = paint weight used / rho_mix. Only use A = flow x time if 'time' is the TOTAL trigger-on time for every pass. A single-pass time is the #1 cause of TE &gt; 100%.</t>
        </is>
      </c>
    </row>
    <row r="63" ht="26" customHeight="1">
      <c r="A63" s="28" t="inlineStr">
        <is>
          <t>Method A (practical/foil):</t>
        </is>
      </c>
      <c r="B63" s="33" t="inlineStr">
        <is>
          <t>Foil the panel (ASTM D5066), weigh = W1, spray, bake until ALL solvent is gone, re-weigh = W2. Deposited dry solids = W2 - W1.  TE(A) = (W2 - W1) / solids-mass-sprayed.</t>
        </is>
      </c>
    </row>
    <row r="64" ht="26" customHeight="1">
      <c r="A64" s="28" t="inlineStr">
        <is>
          <t>Method B (theoretical/DFT):</t>
        </is>
      </c>
      <c r="B64" s="33" t="inlineStr">
        <is>
          <t>Measure coated area A and average DFT. Because 1 m2 x 1 um = 1 cc, deposited solids volume = A x DFT.  TE(B) = (A x DFT) / solids-volume-sprayed.</t>
        </is>
      </c>
    </row>
    <row r="65" ht="39" customHeight="1">
      <c r="A65" s="28" t="inlineStr">
        <is>
          <t>Why they match:</t>
        </is>
      </c>
      <c r="B65" s="33" t="inlineStr">
        <is>
          <t>Both estimate the same fraction of sprayed solids that landed on the part - one via mass, one via volume - linked by rho_solids (row 17). If TE(A) = TE(B) and 'DFT predicted from weight' = 'measured DFT', the data is consistent.</t>
        </is>
      </c>
    </row>
    <row r="66" ht="26" customHeight="1">
      <c r="A66" s="28" t="inlineStr">
        <is>
          <t>Quick check:</t>
        </is>
      </c>
      <c r="B66" s="33" t="inlineStr">
        <is>
          <t>For a fixed A, DFT and VS_mix:  TE = (A x DFT / VS_mix) / V.  Larger true V -&gt; lower (real) TE.</t>
        </is>
      </c>
    </row>
    <row r="67" ht="15" customHeight="1">
      <c r="A67" s="28" t="inlineStr">
        <is>
          <t>Typical TE:</t>
        </is>
      </c>
      <c r="B67" s="33" t="inlineStr">
        <is>
          <t>Air-spray ~25-40%, HVLP ~45-65%, electrostatic bell ~70-95%.</t>
        </is>
      </c>
    </row>
  </sheetData>
  <mergeCells count="21">
    <mergeCell ref="A30:H30"/>
    <mergeCell ref="B65:H65"/>
    <mergeCell ref="A60:H60"/>
    <mergeCell ref="A36:H36"/>
    <mergeCell ref="B64:H64"/>
    <mergeCell ref="A1:H1"/>
    <mergeCell ref="B63:H63"/>
    <mergeCell ref="B62:H62"/>
    <mergeCell ref="A46:H46"/>
    <mergeCell ref="B66:H66"/>
    <mergeCell ref="A3:H3"/>
    <mergeCell ref="A21:H21"/>
    <mergeCell ref="A2:H2"/>
    <mergeCell ref="A5:H5"/>
    <mergeCell ref="B67:H67"/>
    <mergeCell ref="B61:H61"/>
    <mergeCell ref="A43:H43"/>
    <mergeCell ref="A52:H52"/>
    <mergeCell ref="D51:H51"/>
    <mergeCell ref="A19:H19"/>
    <mergeCell ref="A40:H40"/>
  </mergeCells>
  <conditionalFormatting sqref="D47:H48">
    <cfRule type="cellIs" priority="1" operator="greaterThan" dxfId="0">
      <formula>1</formula>
    </cfRule>
  </conditionalFormatting>
  <conditionalFormatting sqref="D51:H51">
    <cfRule type="expression" priority="2" dxfId="1">
      <formula>LEFT(D51,5)="CHECK"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2026-08-05T12:00:54Z</dcterms:created>
  <dcterms:modified xsi:type="dcterms:W3CDTF">2026-08-05T12:00:54Z</dcterms:modified>
</cp:coreProperties>
</file>