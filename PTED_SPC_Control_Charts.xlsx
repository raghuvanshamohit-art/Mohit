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ontrol Chart" sheetId="2" state="visible" r:id="rId2"/>
    <sheet xmlns:r="http://schemas.openxmlformats.org/officeDocument/2006/relationships" name="Phosphate Sludge Chart" sheetId="3" state="visible" r:id="rId3"/>
    <sheet xmlns:r="http://schemas.openxmlformats.org/officeDocument/2006/relationships" name="Insigh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19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b val="1"/>
      <color rgb="001C2833"/>
      <sz val="9"/>
    </font>
    <font>
      <name val="Arial"/>
      <color rgb="001C2833"/>
      <sz val="9"/>
    </font>
    <font>
      <name val="Arial"/>
      <color rgb="00B23B2E"/>
      <sz val="8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1F4E79"/>
      <sz val="11"/>
    </font>
    <font>
      <name val="Arial"/>
      <color rgb="005E6B78"/>
      <sz val="9"/>
    </font>
    <font>
      <name val="Arial"/>
      <color rgb="009AA5B1"/>
      <sz val="8"/>
    </font>
    <font>
      <name val="Arial"/>
      <b val="1"/>
      <color rgb="001C2833"/>
      <sz val="10"/>
    </font>
    <font>
      <name val="Arial"/>
      <color rgb="001C2833"/>
      <sz val="10"/>
    </font>
    <font>
      <name val="Arial"/>
      <color rgb="005E6B78"/>
      <sz val="8"/>
    </font>
    <font>
      <name val="Arial"/>
      <sz val="9"/>
    </font>
    <font>
      <name val="Arial"/>
      <sz val="10"/>
    </font>
    <font>
      <name val="Arial"/>
      <b val="1"/>
      <color rgb="00B23B2E"/>
      <sz val="11"/>
    </font>
    <font>
      <name val="Arial"/>
      <b val="1"/>
      <color rgb="002E7D5B"/>
      <sz val="11"/>
    </font>
    <font>
      <name val="Arial"/>
      <b val="1"/>
      <color rgb="0015263F"/>
      <sz val="11"/>
    </font>
  </fonts>
  <fills count="10">
    <fill>
      <patternFill/>
    </fill>
    <fill>
      <patternFill patternType="gray125"/>
    </fill>
    <fill>
      <patternFill patternType="solid">
        <fgColor rgb="0015263F"/>
      </patternFill>
    </fill>
    <fill>
      <patternFill patternType="solid">
        <fgColor rgb="003E6FA3"/>
      </patternFill>
    </fill>
    <fill>
      <patternFill patternType="solid">
        <fgColor rgb="00F3F6FA"/>
      </patternFill>
    </fill>
    <fill>
      <patternFill patternType="solid">
        <fgColor rgb="00D99A16"/>
      </patternFill>
    </fill>
    <fill>
      <patternFill patternType="solid">
        <fgColor rgb="00FFF2CC"/>
      </patternFill>
    </fill>
    <fill>
      <patternFill patternType="solid">
        <fgColor rgb="00EAF1F8"/>
      </patternFill>
    </fill>
    <fill>
      <patternFill patternType="solid">
        <fgColor rgb="00F3DEDA"/>
      </patternFill>
    </fill>
    <fill>
      <patternFill patternType="solid">
        <fgColor rgb="00DDEEE2"/>
      </patternFill>
    </fill>
  </fills>
  <borders count="2">
    <border>
      <left/>
      <right/>
      <top/>
      <bottom/>
      <diagonal/>
    </border>
    <border>
      <left style="thin">
        <color rgb="00B8C4D0"/>
      </left>
      <right style="thin">
        <color rgb="00B8C4D0"/>
      </right>
      <top style="thin">
        <color rgb="00B8C4D0"/>
      </top>
      <bottom style="thin">
        <color rgb="00B8C4D0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2" borderId="1" pivotButton="0" quotePrefix="0" xfId="0"/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10" fillId="0" borderId="0" pivotButton="0" quotePrefix="0" xfId="0"/>
    <xf numFmtId="0" fontId="7" fillId="5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/>
    </xf>
    <xf numFmtId="0" fontId="11" fillId="7" borderId="1" applyAlignment="1" pivotButton="0" quotePrefix="0" xfId="0">
      <alignment horizontal="left" vertical="center"/>
    </xf>
    <xf numFmtId="49" fontId="12" fillId="0" borderId="1" applyAlignment="1" pivotButton="0" quotePrefix="0" xfId="0">
      <alignment horizontal="center" vertical="center"/>
    </xf>
    <xf numFmtId="2" fontId="12" fillId="0" borderId="1" applyAlignment="1" pivotButton="0" quotePrefix="0" xfId="0">
      <alignment horizontal="center" vertical="center"/>
    </xf>
    <xf numFmtId="1" fontId="12" fillId="0" borderId="1" applyAlignment="1" pivotButton="0" quotePrefix="0" xfId="0">
      <alignment horizontal="center" vertical="center"/>
    </xf>
    <xf numFmtId="165" fontId="12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left" vertical="center"/>
    </xf>
    <xf numFmtId="164" fontId="14" fillId="0" borderId="1" applyAlignment="1" pivotButton="0" quotePrefix="0" xfId="0">
      <alignment horizontal="center"/>
    </xf>
    <xf numFmtId="2" fontId="14" fillId="0" borderId="0" pivotButton="0" quotePrefix="0" xfId="0"/>
    <xf numFmtId="164" fontId="15" fillId="0" borderId="1" applyAlignment="1" pivotButton="0" quotePrefix="0" xfId="0">
      <alignment horizontal="center"/>
    </xf>
    <xf numFmtId="2" fontId="15" fillId="0" borderId="1" applyAlignment="1" pivotButton="0" quotePrefix="0" xfId="0">
      <alignment horizontal="center"/>
    </xf>
    <xf numFmtId="0" fontId="6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1" fillId="0" borderId="0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left" vertical="top" wrapText="1"/>
    </xf>
    <xf numFmtId="0" fontId="16" fillId="8" borderId="0" applyAlignment="1" pivotButton="0" quotePrefix="0" xfId="0">
      <alignment horizontal="left" vertical="top" wrapText="1"/>
    </xf>
    <xf numFmtId="0" fontId="17" fillId="9" borderId="0" applyAlignment="1" pivotButton="0" quotePrefix="0" xfId="0">
      <alignment horizontal="left" vertical="top" wrapText="1"/>
    </xf>
    <xf numFmtId="0" fontId="18" fillId="7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Individuals Control Chart</a:t>
            </a:r>
          </a:p>
        </rich>
      </tx>
    </title>
    <plotArea>
      <lineChart>
        <grouping val="standard"/>
        <ser>
          <idx val="0"/>
          <order val="0"/>
          <tx>
            <strRef>
              <f>'Control Chart'!C20</f>
            </strRef>
          </tx>
          <spPr>
            <a:ln xmlns:a="http://schemas.openxmlformats.org/drawingml/2006/main" w="28575">
              <a:solidFill>
                <a:srgbClr val="1F4E79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1F4E79"/>
              </a:solidFill>
              <a:ln xmlns:a="http://schemas.openxmlformats.org/drawingml/2006/main">
                <a:prstDash val="solid"/>
              </a:ln>
            </spPr>
          </marker>
          <cat>
            <numRef>
              <f>'Control Chart'!$A$21:$A$44</f>
            </numRef>
          </cat>
          <val>
            <numRef>
              <f>'Control Chart'!$C$21:$C$44</f>
            </numRef>
          </val>
          <smooth val="0"/>
        </ser>
        <ser>
          <idx val="1"/>
          <order val="1"/>
          <tx>
            <strRef>
              <f>'Control Chart'!D20</f>
            </strRef>
          </tx>
          <spPr>
            <a:ln xmlns:a="http://schemas.openxmlformats.org/drawingml/2006/main" w="22225">
              <a:solidFill>
                <a:srgbClr val="2E7D5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'Control Chart'!$A$21:$A$44</f>
            </numRef>
          </cat>
          <val>
            <numRef>
              <f>'Control Chart'!$D$21:$D$44</f>
            </numRef>
          </val>
          <smooth val="0"/>
        </ser>
        <ser>
          <idx val="2"/>
          <order val="2"/>
          <tx>
            <strRef>
              <f>'Control Chart'!E20</f>
            </strRef>
          </tx>
          <spPr>
            <a:ln xmlns:a="http://schemas.openxmlformats.org/drawingml/2006/main" w="19050">
              <a:solidFill>
                <a:srgbClr val="C0000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'Control Chart'!$A$21:$A$44</f>
            </numRef>
          </cat>
          <val>
            <numRef>
              <f>'Control Chart'!$E$21:$E$44</f>
            </numRef>
          </val>
          <smooth val="0"/>
        </ser>
        <ser>
          <idx val="3"/>
          <order val="3"/>
          <tx>
            <strRef>
              <f>'Control Chart'!F20</f>
            </strRef>
          </tx>
          <spPr>
            <a:ln xmlns:a="http://schemas.openxmlformats.org/drawingml/2006/main" w="19050">
              <a:solidFill>
                <a:srgbClr val="C0000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'Control Chart'!$A$21:$A$44</f>
            </numRef>
          </cat>
          <val>
            <numRef>
              <f>'Control Chart'!$F$21:$F$44</f>
            </numRef>
          </val>
          <smooth val="0"/>
        </ser>
        <ser>
          <idx val="4"/>
          <order val="4"/>
          <tx>
            <strRef>
              <f>'Control Chart'!G20</f>
            </strRef>
          </tx>
          <spPr>
            <a:ln xmlns:a="http://schemas.openxmlformats.org/drawingml/2006/main" w="19050">
              <a:solidFill>
                <a:srgbClr val="BF8F00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'Control Chart'!$A$21:$A$44</f>
            </numRef>
          </cat>
          <val>
            <numRef>
              <f>'Control Chart'!$G$21:$G$44</f>
            </numRef>
          </val>
          <smooth val="0"/>
        </ser>
        <ser>
          <idx val="5"/>
          <order val="5"/>
          <tx>
            <strRef>
              <f>'Control Chart'!H20</f>
            </strRef>
          </tx>
          <spPr>
            <a:ln xmlns:a="http://schemas.openxmlformats.org/drawingml/2006/main" w="19050">
              <a:solidFill>
                <a:srgbClr val="BF8F00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'Control Chart'!$A$21:$A$44</f>
            </numRef>
          </cat>
          <val>
            <numRef>
              <f>'Control Chart'!$H$21:$H$44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Phosphate Sludge (ppm) — Control Chart</a:t>
            </a:r>
          </a:p>
        </rich>
      </tx>
    </title>
    <plotArea>
      <lineChart>
        <grouping val="standard"/>
        <ser>
          <idx val="0"/>
          <order val="0"/>
          <tx>
            <strRef>
              <f>'Phosphate Sludge Chart'!B11</f>
            </strRef>
          </tx>
          <spPr>
            <a:ln xmlns:a="http://schemas.openxmlformats.org/drawingml/2006/main" w="28575">
              <a:solidFill>
                <a:srgbClr val="1F4E79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1F4E79"/>
              </a:solidFill>
              <a:ln xmlns:a="http://schemas.openxmlformats.org/drawingml/2006/main">
                <a:prstDash val="solid"/>
              </a:ln>
            </spPr>
          </marker>
          <cat>
            <numRef>
              <f>'Phosphate Sludge Chart'!$A$12:$A$26</f>
            </numRef>
          </cat>
          <val>
            <numRef>
              <f>'Phosphate Sludge Chart'!$B$12:$B$26</f>
            </numRef>
          </val>
          <smooth val="0"/>
        </ser>
        <ser>
          <idx val="1"/>
          <order val="1"/>
          <tx>
            <strRef>
              <f>'Phosphate Sludge Chart'!C11</f>
            </strRef>
          </tx>
          <spPr>
            <a:ln xmlns:a="http://schemas.openxmlformats.org/drawingml/2006/main" w="22225">
              <a:solidFill>
                <a:srgbClr val="2E7D5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'Phosphate Sludge Chart'!$A$12:$A$26</f>
            </numRef>
          </cat>
          <val>
            <numRef>
              <f>'Phosphate Sludge Chart'!$C$12:$C$26</f>
            </numRef>
          </val>
          <smooth val="0"/>
        </ser>
        <ser>
          <idx val="2"/>
          <order val="2"/>
          <tx>
            <strRef>
              <f>'Phosphate Sludge Chart'!D11</f>
            </strRef>
          </tx>
          <spPr>
            <a:ln xmlns:a="http://schemas.openxmlformats.org/drawingml/2006/main" w="19050">
              <a:solidFill>
                <a:srgbClr val="C0000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'Phosphate Sludge Chart'!$A$12:$A$26</f>
            </numRef>
          </cat>
          <val>
            <numRef>
              <f>'Phosphate Sludge Chart'!$D$12:$D$26</f>
            </numRef>
          </val>
          <smooth val="0"/>
        </ser>
        <ser>
          <idx val="3"/>
          <order val="3"/>
          <tx>
            <strRef>
              <f>'Phosphate Sludge Chart'!E11</f>
            </strRef>
          </tx>
          <spPr>
            <a:ln xmlns:a="http://schemas.openxmlformats.org/drawingml/2006/main" w="19050">
              <a:solidFill>
                <a:srgbClr val="C0000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'Phosphate Sludge Chart'!$A$12:$A$26</f>
            </numRef>
          </cat>
          <val>
            <numRef>
              <f>'Phosphate Sludge Chart'!$E$12:$E$26</f>
            </numRef>
          </val>
          <smooth val="0"/>
        </ser>
        <ser>
          <idx val="4"/>
          <order val="4"/>
          <tx>
            <strRef>
              <f>'Phosphate Sludge Chart'!F11</f>
            </strRef>
          </tx>
          <spPr>
            <a:ln xmlns:a="http://schemas.openxmlformats.org/drawingml/2006/main" w="19050">
              <a:solidFill>
                <a:srgbClr val="BF8F00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'Phosphate Sludge Chart'!$A$12:$A$26</f>
            </numRef>
          </cat>
          <val>
            <numRef>
              <f>'Phosphate Sludge Chart'!$F$12:$F$26</f>
            </numRef>
          </val>
          <smooth val="0"/>
        </ser>
        <ser>
          <idx val="5"/>
          <order val="5"/>
          <tx>
            <strRef>
              <f>'Phosphate Sludge Chart'!G11</f>
            </strRef>
          </tx>
          <spPr>
            <a:ln xmlns:a="http://schemas.openxmlformats.org/drawingml/2006/main" w="19050">
              <a:solidFill>
                <a:srgbClr val="BF8F00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'Phosphate Sludge Chart'!$A$12:$A$26</f>
            </numRef>
          </cat>
          <val>
            <numRef>
              <f>'Phosphate Sludge Chart'!$G$12:$G$26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SPC</author>
  </authors>
  <commentList>
    <comment ref="A17" authorId="0" shapeId="0">
      <text>
        <t>Top Coat daily readings were not legible in the photo — enter/paste your actual values here. Spec limits are filled in.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4</row>
      <rowOff>0</rowOff>
    </from>
    <ext cx="8640000" cy="37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2</row>
      <rowOff>0</rowOff>
    </from>
    <ext cx="7920000" cy="37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2"/>
  <sheetViews>
    <sheetView showGridLines="0" workbookViewId="0">
      <pane xSplit="6" ySplit="2" topLeftCell="G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6.5" customWidth="1" min="7" max="7"/>
    <col width="6.5" customWidth="1" min="8" max="8"/>
    <col width="6.5" customWidth="1" min="9" max="9"/>
    <col width="6.5" customWidth="1" min="10" max="10"/>
    <col width="6.5" customWidth="1" min="11" max="11"/>
    <col width="6.5" customWidth="1" min="12" max="12"/>
    <col width="6.5" customWidth="1" min="13" max="13"/>
    <col width="6.5" customWidth="1" min="14" max="14"/>
    <col width="6.5" customWidth="1" min="15" max="15"/>
    <col width="6.5" customWidth="1" min="16" max="16"/>
    <col width="6.5" customWidth="1" min="17" max="17"/>
    <col width="6.5" customWidth="1" min="18" max="18"/>
    <col width="6.5" customWidth="1" min="19" max="19"/>
    <col width="6.5" customWidth="1" min="20" max="20"/>
    <col width="6.5" customWidth="1" min="21" max="21"/>
    <col width="6.5" customWidth="1" min="22" max="22"/>
    <col width="6.5" customWidth="1" min="23" max="23"/>
    <col width="6.5" customWidth="1" min="24" max="24"/>
    <col width="6.5" customWidth="1" min="25" max="25"/>
    <col width="6.5" customWidth="1" min="26" max="26"/>
    <col width="6.5" customWidth="1" min="27" max="27"/>
    <col width="6.5" customWidth="1" min="28" max="28"/>
    <col width="6.5" customWidth="1" min="29" max="29"/>
    <col width="6.5" customWidth="1" min="30" max="30"/>
    <col width="6.5" customWidth="1" min="31" max="31"/>
    <col width="6.5" customWidth="1" min="32" max="32"/>
  </cols>
  <sheetData>
    <row r="1">
      <c r="A1" s="1" t="inlineStr">
        <is>
          <t>PTED — Pre-Treatment &amp; Electro-Deposition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</row>
    <row r="2">
      <c r="A2" s="3" t="inlineStr">
        <is>
          <t>Parameter</t>
        </is>
      </c>
      <c r="B2" s="4" t="inlineStr">
        <is>
          <t>Unit</t>
        </is>
      </c>
      <c r="C2" s="4" t="inlineStr">
        <is>
          <t>LSL</t>
        </is>
      </c>
      <c r="D2" s="4" t="inlineStr">
        <is>
          <t>Target</t>
        </is>
      </c>
      <c r="E2" s="4" t="inlineStr">
        <is>
          <t>USL</t>
        </is>
      </c>
      <c r="F2" s="4" t="inlineStr">
        <is>
          <t>Jul-26</t>
        </is>
      </c>
      <c r="G2" s="4" t="inlineStr">
        <is>
          <t>Day 1</t>
        </is>
      </c>
      <c r="H2" s="4" t="inlineStr">
        <is>
          <t>Day 2</t>
        </is>
      </c>
      <c r="I2" s="4" t="inlineStr">
        <is>
          <t>Day 3</t>
        </is>
      </c>
      <c r="J2" s="4" t="inlineStr">
        <is>
          <t>Day 4</t>
        </is>
      </c>
      <c r="K2" s="4" t="inlineStr">
        <is>
          <t>Day 5</t>
        </is>
      </c>
      <c r="L2" s="4" t="inlineStr">
        <is>
          <t>Day 6</t>
        </is>
      </c>
      <c r="M2" s="4" t="inlineStr">
        <is>
          <t>Day 7</t>
        </is>
      </c>
      <c r="N2" s="4" t="inlineStr">
        <is>
          <t>Day 8</t>
        </is>
      </c>
      <c r="O2" s="4" t="inlineStr">
        <is>
          <t>Day 9</t>
        </is>
      </c>
      <c r="P2" s="4" t="inlineStr">
        <is>
          <t>Day 10</t>
        </is>
      </c>
      <c r="Q2" s="4" t="inlineStr">
        <is>
          <t>Day 11</t>
        </is>
      </c>
      <c r="R2" s="4" t="inlineStr">
        <is>
          <t>Day 12</t>
        </is>
      </c>
      <c r="S2" s="4" t="inlineStr">
        <is>
          <t>Day 13</t>
        </is>
      </c>
      <c r="T2" s="4" t="inlineStr">
        <is>
          <t>Day 14</t>
        </is>
      </c>
      <c r="U2" s="4" t="inlineStr">
        <is>
          <t>Day 15</t>
        </is>
      </c>
      <c r="V2" s="4" t="inlineStr">
        <is>
          <t>Day 16</t>
        </is>
      </c>
      <c r="W2" s="4" t="inlineStr">
        <is>
          <t>Day 17</t>
        </is>
      </c>
      <c r="X2" s="4" t="inlineStr">
        <is>
          <t>Day 18</t>
        </is>
      </c>
      <c r="Y2" s="4" t="inlineStr">
        <is>
          <t>Day 19</t>
        </is>
      </c>
      <c r="Z2" s="4" t="inlineStr">
        <is>
          <t>Day 20</t>
        </is>
      </c>
      <c r="AA2" s="4" t="inlineStr">
        <is>
          <t>Day 21</t>
        </is>
      </c>
      <c r="AB2" s="4" t="inlineStr">
        <is>
          <t>Day 22</t>
        </is>
      </c>
      <c r="AC2" s="4" t="inlineStr">
        <is>
          <t>Day 23</t>
        </is>
      </c>
      <c r="AD2" s="4" t="inlineStr">
        <is>
          <t>Day 24</t>
        </is>
      </c>
      <c r="AE2" s="4" t="inlineStr">
        <is>
          <t>Day 25</t>
        </is>
      </c>
      <c r="AF2" s="4" t="inlineStr">
        <is>
          <t>Day 26</t>
        </is>
      </c>
    </row>
    <row r="3">
      <c r="A3" s="5" t="inlineStr">
        <is>
          <t>ED Bath NV%</t>
        </is>
      </c>
      <c r="B3" s="6" t="inlineStr">
        <is>
          <t>%</t>
        </is>
      </c>
      <c r="C3" s="7" t="n">
        <v>17</v>
      </c>
      <c r="D3" s="7" t="n">
        <v>18</v>
      </c>
      <c r="E3" s="7" t="n">
        <v>19</v>
      </c>
      <c r="F3" s="7" t="n">
        <v>18</v>
      </c>
      <c r="G3" s="8" t="n"/>
      <c r="H3" s="8" t="n">
        <v>17.8</v>
      </c>
      <c r="I3" s="8" t="n">
        <v>17.3</v>
      </c>
      <c r="J3" s="8" t="n">
        <v>17.6</v>
      </c>
      <c r="K3" s="8" t="n">
        <v>17.6</v>
      </c>
      <c r="L3" s="8" t="n">
        <v>17.9</v>
      </c>
      <c r="M3" s="8" t="n">
        <v>17.9</v>
      </c>
      <c r="N3" s="8" t="n">
        <v>17.7</v>
      </c>
      <c r="O3" s="8" t="n">
        <v>17.6</v>
      </c>
      <c r="P3" s="8" t="n">
        <v>17.6</v>
      </c>
      <c r="Q3" s="8" t="n">
        <v>17.9</v>
      </c>
      <c r="R3" s="8" t="n">
        <v>17.9</v>
      </c>
      <c r="S3" s="8" t="n">
        <v>17.7</v>
      </c>
      <c r="T3" s="8" t="n">
        <v>17.9</v>
      </c>
      <c r="U3" s="8" t="n">
        <v>18.5</v>
      </c>
      <c r="V3" s="8" t="n">
        <v>17.4</v>
      </c>
      <c r="W3" s="8" t="n">
        <v>18.1</v>
      </c>
      <c r="X3" s="8" t="n">
        <v>17.8</v>
      </c>
      <c r="Y3" s="8" t="n">
        <v>18.5</v>
      </c>
      <c r="Z3" s="8" t="n">
        <v>17.8</v>
      </c>
      <c r="AA3" s="8" t="n">
        <v>19</v>
      </c>
      <c r="AB3" s="8" t="n">
        <v>18.5</v>
      </c>
      <c r="AC3" s="8" t="n">
        <v>18.8</v>
      </c>
      <c r="AD3" s="8" t="n">
        <v>18.5</v>
      </c>
      <c r="AE3" s="8" t="n">
        <v>18.4</v>
      </c>
      <c r="AF3" s="8" t="n"/>
    </row>
    <row r="4">
      <c r="A4" s="5" t="inlineStr">
        <is>
          <t>UF1 NV%</t>
        </is>
      </c>
      <c r="B4" s="6" t="inlineStr">
        <is>
          <t>%</t>
        </is>
      </c>
      <c r="C4" s="7" t="n"/>
      <c r="D4" s="7" t="n"/>
      <c r="E4" s="7" t="n"/>
      <c r="F4" s="7" t="n">
        <v>0.75</v>
      </c>
      <c r="G4" s="8" t="n"/>
      <c r="H4" s="8" t="n">
        <v>0.5</v>
      </c>
      <c r="I4" s="8" t="n">
        <v>0.7</v>
      </c>
      <c r="J4" s="8" t="n">
        <v>0.7</v>
      </c>
      <c r="K4" s="8" t="n">
        <v>0.7</v>
      </c>
      <c r="L4" s="8" t="n">
        <v>0.6</v>
      </c>
      <c r="M4" s="8" t="n">
        <v>0.8</v>
      </c>
      <c r="N4" s="8" t="n">
        <v>0.7</v>
      </c>
      <c r="O4" s="8" t="n">
        <v>0.7</v>
      </c>
      <c r="P4" s="8" t="n">
        <v>0.6</v>
      </c>
      <c r="Q4" s="8" t="n">
        <v>0.7</v>
      </c>
      <c r="R4" s="8" t="n">
        <v>0.9</v>
      </c>
      <c r="S4" s="8" t="n">
        <v>0.9</v>
      </c>
      <c r="T4" s="8" t="n">
        <v>0.7</v>
      </c>
      <c r="U4" s="8" t="n">
        <v>0.5</v>
      </c>
      <c r="V4" s="8" t="n">
        <v>1.1</v>
      </c>
      <c r="W4" s="8" t="n">
        <v>0.8</v>
      </c>
      <c r="X4" s="8" t="n">
        <v>0.8</v>
      </c>
      <c r="Y4" s="8" t="n">
        <v>0.9</v>
      </c>
      <c r="Z4" s="8" t="n">
        <v>0.6</v>
      </c>
      <c r="AA4" s="8" t="n">
        <v>0.6</v>
      </c>
      <c r="AB4" s="8" t="n">
        <v>0.7</v>
      </c>
      <c r="AC4" s="8" t="n">
        <v>1.1</v>
      </c>
      <c r="AD4" s="8" t="n">
        <v>0.8</v>
      </c>
      <c r="AE4" s="8" t="n">
        <v>0.9</v>
      </c>
      <c r="AF4" s="8" t="n"/>
    </row>
    <row r="5">
      <c r="A5" s="5" t="inlineStr">
        <is>
          <t>UF2 NV%</t>
        </is>
      </c>
      <c r="B5" s="6" t="inlineStr">
        <is>
          <t>%</t>
        </is>
      </c>
      <c r="C5" s="7" t="n"/>
      <c r="D5" s="7" t="n"/>
      <c r="E5" s="7" t="n"/>
      <c r="F5" s="7" t="n">
        <v>0.66</v>
      </c>
      <c r="G5" s="8" t="n"/>
      <c r="H5" s="8" t="n">
        <v>0.3</v>
      </c>
      <c r="I5" s="8" t="n">
        <v>0.9</v>
      </c>
      <c r="J5" s="8" t="n">
        <v>0.8</v>
      </c>
      <c r="K5" s="8" t="n">
        <v>0.8</v>
      </c>
      <c r="L5" s="8" t="n">
        <v>0.7</v>
      </c>
      <c r="M5" s="8" t="n">
        <v>0.6</v>
      </c>
      <c r="N5" s="8" t="n">
        <v>0.6</v>
      </c>
      <c r="O5" s="8" t="n">
        <v>0.6</v>
      </c>
      <c r="P5" s="8" t="n">
        <v>0.7</v>
      </c>
      <c r="Q5" s="8" t="n">
        <v>0.4</v>
      </c>
      <c r="R5" s="8" t="n">
        <v>0.6</v>
      </c>
      <c r="S5" s="8" t="n">
        <v>0.7</v>
      </c>
      <c r="T5" s="8" t="n">
        <v>0.6</v>
      </c>
      <c r="U5" s="8" t="n">
        <v>0.7</v>
      </c>
      <c r="V5" s="8" t="n">
        <v>0.4</v>
      </c>
      <c r="W5" s="8" t="n">
        <v>0.7</v>
      </c>
      <c r="X5" s="8" t="n">
        <v>0.8</v>
      </c>
      <c r="Y5" s="8" t="n">
        <v>0.7</v>
      </c>
      <c r="Z5" s="8" t="n">
        <v>0.6</v>
      </c>
      <c r="AA5" s="8" t="n">
        <v>0.6</v>
      </c>
      <c r="AB5" s="8" t="n">
        <v>0.8</v>
      </c>
      <c r="AC5" s="8" t="n">
        <v>0.9</v>
      </c>
      <c r="AD5" s="8" t="n">
        <v>0.7</v>
      </c>
      <c r="AE5" s="8" t="n">
        <v>0.7</v>
      </c>
      <c r="AF5" s="8" t="n"/>
    </row>
    <row r="6">
      <c r="A6" s="5" t="inlineStr">
        <is>
          <t>UF3 NV%</t>
        </is>
      </c>
      <c r="B6" s="6" t="inlineStr">
        <is>
          <t>%</t>
        </is>
      </c>
      <c r="C6" s="7" t="n"/>
      <c r="D6" s="7" t="n"/>
      <c r="E6" s="7" t="n"/>
      <c r="F6" s="7" t="n">
        <v>0.67</v>
      </c>
      <c r="G6" s="8" t="n"/>
      <c r="H6" s="8" t="n">
        <v>0.6</v>
      </c>
      <c r="I6" s="8" t="n">
        <v>0.6</v>
      </c>
      <c r="J6" s="8" t="n">
        <v>0.8</v>
      </c>
      <c r="K6" s="8" t="n">
        <v>0.7</v>
      </c>
      <c r="L6" s="8" t="n">
        <v>0.6</v>
      </c>
      <c r="M6" s="8" t="n">
        <v>0.6</v>
      </c>
      <c r="N6" s="8" t="n">
        <v>0.6</v>
      </c>
      <c r="O6" s="8" t="n">
        <v>0.7</v>
      </c>
      <c r="P6" s="8" t="n">
        <v>1</v>
      </c>
      <c r="Q6" s="8" t="n">
        <v>0.7</v>
      </c>
      <c r="R6" s="8" t="n">
        <v>0.5</v>
      </c>
      <c r="S6" s="8" t="n">
        <v>0.6</v>
      </c>
      <c r="T6" s="8" t="n">
        <v>1</v>
      </c>
      <c r="U6" s="8" t="n">
        <v>0.9</v>
      </c>
      <c r="V6" s="8" t="n">
        <v>0.3</v>
      </c>
      <c r="W6" s="8" t="n">
        <v>0.7</v>
      </c>
      <c r="X6" s="8" t="n">
        <v>0.5</v>
      </c>
      <c r="Y6" s="8" t="n">
        <v>0.7</v>
      </c>
      <c r="Z6" s="8" t="n">
        <v>0.8</v>
      </c>
      <c r="AA6" s="8" t="n">
        <v>0.7</v>
      </c>
      <c r="AB6" s="8" t="n">
        <v>0.6</v>
      </c>
      <c r="AC6" s="8" t="n">
        <v>0.5</v>
      </c>
      <c r="AD6" s="8" t="n">
        <v>0.7</v>
      </c>
      <c r="AE6" s="8" t="n">
        <v>0.8</v>
      </c>
      <c r="AF6" s="8" t="n"/>
    </row>
    <row r="7">
      <c r="A7" s="5" t="inlineStr">
        <is>
          <t>ED Bath pH</t>
        </is>
      </c>
      <c r="B7" s="6" t="inlineStr">
        <is>
          <t>pH</t>
        </is>
      </c>
      <c r="C7" s="7" t="n">
        <v>5.3</v>
      </c>
      <c r="D7" s="7" t="n">
        <v>5.55</v>
      </c>
      <c r="E7" s="7" t="n">
        <v>5.8</v>
      </c>
      <c r="F7" s="7" t="n">
        <v>5.31</v>
      </c>
      <c r="G7" s="8" t="n"/>
      <c r="H7" s="8" t="n">
        <v>5.3</v>
      </c>
      <c r="I7" s="8" t="n">
        <v>5.3</v>
      </c>
      <c r="J7" s="8" t="n">
        <v>5.3</v>
      </c>
      <c r="K7" s="8" t="n">
        <v>5.3</v>
      </c>
      <c r="L7" s="8" t="n">
        <v>5.3</v>
      </c>
      <c r="M7" s="8" t="n">
        <v>5.3</v>
      </c>
      <c r="N7" s="8" t="n">
        <v>5.4</v>
      </c>
      <c r="O7" s="8" t="n">
        <v>5.3</v>
      </c>
      <c r="P7" s="8" t="n">
        <v>5.3</v>
      </c>
      <c r="Q7" s="8" t="n">
        <v>5.4</v>
      </c>
      <c r="R7" s="8" t="n">
        <v>5.3</v>
      </c>
      <c r="S7" s="8" t="n">
        <v>5.3</v>
      </c>
      <c r="T7" s="8" t="n">
        <v>5.4</v>
      </c>
      <c r="U7" s="8" t="n">
        <v>5.3</v>
      </c>
      <c r="V7" s="8" t="n">
        <v>5.3</v>
      </c>
      <c r="W7" s="8" t="n">
        <v>5.3</v>
      </c>
      <c r="X7" s="8" t="n">
        <v>5.3</v>
      </c>
      <c r="Y7" s="8" t="n">
        <v>5.3</v>
      </c>
      <c r="Z7" s="8" t="n">
        <v>5.3</v>
      </c>
      <c r="AA7" s="8" t="n">
        <v>5.3</v>
      </c>
      <c r="AB7" s="8" t="n">
        <v>5.3</v>
      </c>
      <c r="AC7" s="8" t="n">
        <v>5.3</v>
      </c>
      <c r="AD7" s="8" t="n">
        <v>5.3</v>
      </c>
      <c r="AE7" s="8" t="n">
        <v>5.3</v>
      </c>
      <c r="AF7" s="8" t="n"/>
    </row>
    <row r="8">
      <c r="A8" s="5" t="inlineStr">
        <is>
          <t>ED Drops</t>
        </is>
      </c>
      <c r="B8" s="6" t="inlineStr">
        <is>
          <t>cnt</t>
        </is>
      </c>
      <c r="C8" s="7" t="n">
        <v>0</v>
      </c>
      <c r="D8" s="7" t="n">
        <v>0.5</v>
      </c>
      <c r="E8" s="7" t="n">
        <v>1</v>
      </c>
      <c r="F8" s="7" t="n">
        <v>2.18</v>
      </c>
      <c r="G8" s="8" t="n"/>
      <c r="H8" s="8" t="n">
        <v>3.2</v>
      </c>
      <c r="I8" s="8" t="n">
        <v>3.8</v>
      </c>
      <c r="J8" s="8" t="n">
        <v>4.2</v>
      </c>
      <c r="K8" s="8" t="n">
        <v>1.2</v>
      </c>
      <c r="L8" s="8" t="n">
        <v>4.6</v>
      </c>
      <c r="M8" s="8" t="n">
        <v>2.4</v>
      </c>
      <c r="N8" s="8" t="n">
        <v>1.6</v>
      </c>
      <c r="O8" s="8" t="n">
        <v>2</v>
      </c>
      <c r="P8" s="8" t="n">
        <v>1.8</v>
      </c>
      <c r="Q8" s="8" t="n">
        <v>2</v>
      </c>
      <c r="R8" s="8" t="n">
        <v>2.2</v>
      </c>
      <c r="S8" s="8" t="n">
        <v>1.8</v>
      </c>
      <c r="T8" s="8" t="n">
        <v>2.2</v>
      </c>
      <c r="U8" s="8" t="n">
        <v>2</v>
      </c>
      <c r="V8" s="8" t="n">
        <v>2</v>
      </c>
      <c r="W8" s="8" t="n">
        <v>1.8</v>
      </c>
      <c r="X8" s="8" t="n">
        <v>1.8</v>
      </c>
      <c r="Y8" s="8" t="n">
        <v>1.4</v>
      </c>
      <c r="Z8" s="8" t="n">
        <v>1.4</v>
      </c>
      <c r="AA8" s="8" t="n">
        <v>2</v>
      </c>
      <c r="AB8" s="8" t="n">
        <v>2</v>
      </c>
      <c r="AC8" s="8" t="n">
        <v>1.6</v>
      </c>
      <c r="AD8" s="8" t="n">
        <v>2</v>
      </c>
      <c r="AE8" s="8" t="n">
        <v>1.4</v>
      </c>
      <c r="AF8" s="8" t="n"/>
    </row>
    <row r="9">
      <c r="A9" s="5" t="inlineStr">
        <is>
          <t>Ash Content %</t>
        </is>
      </c>
      <c r="B9" s="6" t="inlineStr">
        <is>
          <t>%</t>
        </is>
      </c>
      <c r="C9" s="7" t="n">
        <v>13</v>
      </c>
      <c r="D9" s="7" t="n">
        <v>14.5</v>
      </c>
      <c r="E9" s="7" t="n">
        <v>16</v>
      </c>
      <c r="F9" s="7" t="n">
        <v>15.4</v>
      </c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>
        <v>15.9</v>
      </c>
      <c r="T9" s="8" t="n"/>
      <c r="U9" s="8" t="n"/>
      <c r="V9" s="8" t="n"/>
      <c r="W9" s="8" t="n"/>
      <c r="X9" s="8" t="n"/>
      <c r="Y9" s="8" t="n"/>
      <c r="Z9" s="8" t="n"/>
      <c r="AA9" s="8" t="n">
        <v>14.9</v>
      </c>
      <c r="AB9" s="8" t="n"/>
      <c r="AC9" s="8" t="n"/>
      <c r="AD9" s="8" t="n"/>
      <c r="AE9" s="8" t="n"/>
      <c r="AF9" s="8" t="n"/>
    </row>
    <row r="10">
      <c r="A10" s="5" t="inlineStr">
        <is>
          <t>Phosphate Sludge</t>
        </is>
      </c>
      <c r="B10" s="6" t="inlineStr">
        <is>
          <t>ppm</t>
        </is>
      </c>
      <c r="C10" s="7" t="n">
        <v>60</v>
      </c>
      <c r="D10" s="7" t="n">
        <v>100</v>
      </c>
      <c r="E10" s="7" t="n">
        <v>140</v>
      </c>
      <c r="F10" s="7" t="n">
        <v>109.33</v>
      </c>
      <c r="G10" s="8" t="n"/>
      <c r="H10" s="8" t="n"/>
      <c r="I10" s="8" t="n"/>
      <c r="J10" s="8" t="n"/>
      <c r="K10" s="8" t="n"/>
      <c r="L10" s="8" t="n"/>
      <c r="M10" s="8" t="n">
        <v>110</v>
      </c>
      <c r="N10" s="8" t="n"/>
      <c r="O10" s="8" t="n"/>
      <c r="P10" s="8" t="n"/>
      <c r="Q10" s="8" t="n">
        <v>72</v>
      </c>
      <c r="R10" s="8" t="n">
        <v>82</v>
      </c>
      <c r="S10" s="8" t="n">
        <v>91</v>
      </c>
      <c r="T10" s="8" t="n">
        <v>96</v>
      </c>
      <c r="U10" s="8" t="n">
        <v>98</v>
      </c>
      <c r="V10" s="8" t="n">
        <v>102</v>
      </c>
      <c r="W10" s="8" t="n">
        <v>125</v>
      </c>
      <c r="X10" s="8" t="n">
        <v>133</v>
      </c>
      <c r="Y10" s="8" t="n">
        <v>141</v>
      </c>
      <c r="Z10" s="8" t="n">
        <v>134</v>
      </c>
      <c r="AA10" s="8" t="n">
        <v>93</v>
      </c>
      <c r="AB10" s="8" t="n">
        <v>114</v>
      </c>
      <c r="AC10" s="8" t="n">
        <v>123</v>
      </c>
      <c r="AD10" s="8" t="n">
        <v>119</v>
      </c>
      <c r="AE10" s="8" t="n"/>
      <c r="AF10" s="8" t="n"/>
    </row>
    <row r="11">
      <c r="A11" s="5" t="inlineStr">
        <is>
          <t>Metal Dust/100 Veh.</t>
        </is>
      </c>
      <c r="B11" s="6" t="inlineStr">
        <is>
          <t>kg</t>
        </is>
      </c>
      <c r="C11" s="7" t="n">
        <v>0</v>
      </c>
      <c r="D11" s="7" t="n">
        <v>2</v>
      </c>
      <c r="E11" s="7" t="n">
        <v>4</v>
      </c>
      <c r="F11" s="7" t="n">
        <v>0.04</v>
      </c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>
        <v>0.15</v>
      </c>
      <c r="Q11" s="8" t="n">
        <v>0.07000000000000001</v>
      </c>
      <c r="R11" s="8" t="n">
        <v>0.05</v>
      </c>
      <c r="S11" s="8" t="n">
        <v>0.04</v>
      </c>
      <c r="T11" s="8" t="n">
        <v>0.03</v>
      </c>
      <c r="U11" s="8" t="n">
        <v>0.02</v>
      </c>
      <c r="V11" s="8" t="n">
        <v>0.03</v>
      </c>
      <c r="W11" s="8" t="n">
        <v>0.02</v>
      </c>
      <c r="X11" s="8" t="n">
        <v>0.01</v>
      </c>
      <c r="Y11" s="8" t="n">
        <v>0.02</v>
      </c>
      <c r="Z11" s="8" t="n">
        <v>0.04</v>
      </c>
      <c r="AA11" s="8" t="n">
        <v>0.02</v>
      </c>
      <c r="AB11" s="8" t="n">
        <v>0.02</v>
      </c>
      <c r="AC11" s="8" t="n"/>
      <c r="AD11" s="8" t="n"/>
      <c r="AE11" s="8" t="n"/>
      <c r="AF11" s="8" t="n"/>
    </row>
    <row r="12">
      <c r="A12" s="5" t="inlineStr">
        <is>
          <t>ED Dust</t>
        </is>
      </c>
      <c r="B12" s="6" t="inlineStr">
        <is>
          <t>cnt</t>
        </is>
      </c>
      <c r="C12" s="7" t="n">
        <v>0</v>
      </c>
      <c r="D12" s="7" t="n">
        <v>0.5</v>
      </c>
      <c r="E12" s="7" t="n">
        <v>1</v>
      </c>
      <c r="F12" s="7" t="n">
        <v>3.96</v>
      </c>
      <c r="G12" s="8" t="n"/>
      <c r="H12" s="8" t="n">
        <v>7.8</v>
      </c>
      <c r="I12" s="8" t="n">
        <v>5.3</v>
      </c>
      <c r="J12" s="8" t="n">
        <v>5</v>
      </c>
      <c r="K12" s="8" t="n">
        <v>3.6</v>
      </c>
      <c r="L12" s="8" t="n">
        <v>4.4</v>
      </c>
      <c r="M12" s="8" t="n">
        <v>5.8</v>
      </c>
      <c r="N12" s="8" t="n">
        <v>5</v>
      </c>
      <c r="O12" s="8" t="n">
        <v>3.2</v>
      </c>
      <c r="P12" s="8" t="n">
        <v>3.2</v>
      </c>
      <c r="Q12" s="8" t="n">
        <v>4.6</v>
      </c>
      <c r="R12" s="8" t="n">
        <v>5.9</v>
      </c>
      <c r="S12" s="8" t="n">
        <v>3.2</v>
      </c>
      <c r="T12" s="8" t="n">
        <v>3</v>
      </c>
      <c r="U12" s="8" t="n">
        <v>2.6</v>
      </c>
      <c r="V12" s="8" t="n">
        <v>2.6</v>
      </c>
      <c r="W12" s="8" t="n">
        <v>2.6</v>
      </c>
      <c r="X12" s="8" t="n">
        <v>2.6</v>
      </c>
      <c r="Y12" s="8" t="n">
        <v>2.2</v>
      </c>
      <c r="Z12" s="8" t="n">
        <v>2.6</v>
      </c>
      <c r="AA12" s="8" t="n">
        <v>2.4</v>
      </c>
      <c r="AB12" s="8" t="n">
        <v>2.6</v>
      </c>
      <c r="AC12" s="8" t="n">
        <v>2.4</v>
      </c>
      <c r="AD12" s="8" t="n">
        <v>2.4</v>
      </c>
      <c r="AE12" s="8" t="n">
        <v>0.4</v>
      </c>
      <c r="AF12" s="8" t="n"/>
    </row>
    <row r="15">
      <c r="A15" s="1" t="inlineStr">
        <is>
          <t>TOP COAT Monitoring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</row>
    <row r="16">
      <c r="A16" s="3" t="inlineStr">
        <is>
          <t>Parameter</t>
        </is>
      </c>
      <c r="B16" s="4" t="inlineStr">
        <is>
          <t>Unit</t>
        </is>
      </c>
      <c r="C16" s="4" t="inlineStr">
        <is>
          <t>LSL</t>
        </is>
      </c>
      <c r="D16" s="4" t="inlineStr">
        <is>
          <t>Target</t>
        </is>
      </c>
      <c r="E16" s="4" t="inlineStr">
        <is>
          <t>USL</t>
        </is>
      </c>
      <c r="F16" s="4" t="inlineStr">
        <is>
          <t>Jul-26</t>
        </is>
      </c>
      <c r="G16" s="4" t="inlineStr">
        <is>
          <t>Day 1</t>
        </is>
      </c>
      <c r="H16" s="4" t="inlineStr">
        <is>
          <t>Day 2</t>
        </is>
      </c>
      <c r="I16" s="4" t="inlineStr">
        <is>
          <t>Day 3</t>
        </is>
      </c>
      <c r="J16" s="4" t="inlineStr">
        <is>
          <t>Day 4</t>
        </is>
      </c>
      <c r="K16" s="4" t="inlineStr">
        <is>
          <t>Day 5</t>
        </is>
      </c>
      <c r="L16" s="4" t="inlineStr">
        <is>
          <t>Day 6</t>
        </is>
      </c>
      <c r="M16" s="4" t="inlineStr">
        <is>
          <t>Day 7</t>
        </is>
      </c>
      <c r="N16" s="4" t="inlineStr">
        <is>
          <t>Day 8</t>
        </is>
      </c>
      <c r="O16" s="4" t="inlineStr">
        <is>
          <t>Day 9</t>
        </is>
      </c>
      <c r="P16" s="4" t="inlineStr">
        <is>
          <t>Day 10</t>
        </is>
      </c>
      <c r="Q16" s="4" t="inlineStr">
        <is>
          <t>Day 11</t>
        </is>
      </c>
      <c r="R16" s="4" t="inlineStr">
        <is>
          <t>Day 12</t>
        </is>
      </c>
      <c r="S16" s="4" t="inlineStr">
        <is>
          <t>Day 13</t>
        </is>
      </c>
      <c r="T16" s="4" t="inlineStr">
        <is>
          <t>Day 14</t>
        </is>
      </c>
      <c r="U16" s="4" t="inlineStr">
        <is>
          <t>Day 15</t>
        </is>
      </c>
      <c r="V16" s="4" t="inlineStr">
        <is>
          <t>Day 16</t>
        </is>
      </c>
      <c r="W16" s="4" t="inlineStr">
        <is>
          <t>Day 17</t>
        </is>
      </c>
      <c r="X16" s="4" t="inlineStr">
        <is>
          <t>Day 18</t>
        </is>
      </c>
      <c r="Y16" s="4" t="inlineStr">
        <is>
          <t>Day 19</t>
        </is>
      </c>
      <c r="Z16" s="4" t="inlineStr">
        <is>
          <t>Day 20</t>
        </is>
      </c>
      <c r="AA16" s="4" t="inlineStr">
        <is>
          <t>Day 21</t>
        </is>
      </c>
      <c r="AB16" s="4" t="inlineStr">
        <is>
          <t>Day 22</t>
        </is>
      </c>
      <c r="AC16" s="4" t="inlineStr">
        <is>
          <t>Day 23</t>
        </is>
      </c>
      <c r="AD16" s="4" t="inlineStr">
        <is>
          <t>Day 24</t>
        </is>
      </c>
      <c r="AE16" s="4" t="inlineStr">
        <is>
          <t>Day 25</t>
        </is>
      </c>
      <c r="AF16" s="4" t="inlineStr">
        <is>
          <t>Day 26</t>
        </is>
      </c>
    </row>
    <row r="17">
      <c r="A17" s="5" t="inlineStr">
        <is>
          <t>Dust on ED body</t>
        </is>
      </c>
      <c r="B17" s="6" t="inlineStr">
        <is>
          <t>cnt</t>
        </is>
      </c>
      <c r="C17" s="7" t="n">
        <v>0</v>
      </c>
      <c r="D17" s="7" t="n">
        <v>2</v>
      </c>
      <c r="E17" s="7" t="n">
        <v>5</v>
      </c>
      <c r="F17" s="6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</row>
    <row r="18">
      <c r="A18" s="5" t="inlineStr">
        <is>
          <t>Loose Dust on ED Body</t>
        </is>
      </c>
      <c r="B18" s="6" t="inlineStr">
        <is>
          <t>cnt</t>
        </is>
      </c>
      <c r="C18" s="7" t="n"/>
      <c r="D18" s="7" t="n"/>
      <c r="E18" s="7" t="n"/>
      <c r="F18" s="6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</row>
    <row r="19">
      <c r="A19" s="5" t="inlineStr">
        <is>
          <t>Dust After IC</t>
        </is>
      </c>
      <c r="B19" s="6" t="inlineStr">
        <is>
          <t>cnt</t>
        </is>
      </c>
      <c r="C19" s="7" t="n">
        <v>0</v>
      </c>
      <c r="D19" s="7" t="n">
        <v>2</v>
      </c>
      <c r="E19" s="7" t="n">
        <v>5</v>
      </c>
      <c r="F19" s="6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</row>
    <row r="20">
      <c r="A20" s="5" t="inlineStr">
        <is>
          <t>Dust After BC</t>
        </is>
      </c>
      <c r="B20" s="6" t="inlineStr">
        <is>
          <t>cnt</t>
        </is>
      </c>
      <c r="C20" s="7" t="n">
        <v>0</v>
      </c>
      <c r="D20" s="7" t="n">
        <v>2</v>
      </c>
      <c r="E20" s="7" t="n">
        <v>4</v>
      </c>
      <c r="F20" s="6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</row>
    <row r="21">
      <c r="A21" s="5" t="inlineStr">
        <is>
          <t>Dust After CC</t>
        </is>
      </c>
      <c r="B21" s="6" t="inlineStr">
        <is>
          <t>cnt</t>
        </is>
      </c>
      <c r="C21" s="7" t="n">
        <v>0</v>
      </c>
      <c r="D21" s="7" t="n">
        <v>1</v>
      </c>
      <c r="E21" s="7" t="n">
        <v>3</v>
      </c>
      <c r="F21" s="6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</row>
    <row r="22">
      <c r="A22" s="5" t="inlineStr">
        <is>
          <t>Dust after Oven</t>
        </is>
      </c>
      <c r="B22" s="6" t="inlineStr">
        <is>
          <t>cnt</t>
        </is>
      </c>
      <c r="C22" s="7" t="n"/>
      <c r="D22" s="7" t="n"/>
      <c r="E22" s="7" t="n"/>
      <c r="F22" s="6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</row>
    <row r="23">
      <c r="A23" s="5" t="inlineStr">
        <is>
          <t>Env. Dust EDS (Avg)</t>
        </is>
      </c>
      <c r="B23" s="6" t="inlineStr">
        <is>
          <t>cnt</t>
        </is>
      </c>
      <c r="C23" s="7" t="n">
        <v>0</v>
      </c>
      <c r="D23" s="7" t="n">
        <v>5</v>
      </c>
      <c r="E23" s="7" t="n">
        <v>10</v>
      </c>
      <c r="F23" s="6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</row>
    <row r="24">
      <c r="A24" s="5" t="inlineStr">
        <is>
          <t>Env. Dust PTCS (Avg)</t>
        </is>
      </c>
      <c r="B24" s="6" t="inlineStr">
        <is>
          <t>cnt</t>
        </is>
      </c>
      <c r="C24" s="7" t="n">
        <v>0</v>
      </c>
      <c r="D24" s="7" t="n">
        <v>5</v>
      </c>
      <c r="E24" s="7" t="n">
        <v>10</v>
      </c>
      <c r="F24" s="6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</row>
    <row r="25">
      <c r="A25" s="5" t="inlineStr">
        <is>
          <t>Residue content (2HJ)</t>
        </is>
      </c>
      <c r="B25" s="6" t="inlineStr">
        <is>
          <t>mg</t>
        </is>
      </c>
      <c r="C25" s="7" t="n">
        <v>0</v>
      </c>
      <c r="D25" s="7" t="n">
        <v>2</v>
      </c>
      <c r="E25" s="7" t="n">
        <v>5</v>
      </c>
      <c r="F25" s="6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</row>
    <row r="26">
      <c r="A26" s="5" t="inlineStr">
        <is>
          <t>Residue content (WBE)</t>
        </is>
      </c>
      <c r="B26" s="6" t="inlineStr">
        <is>
          <t>cnt</t>
        </is>
      </c>
      <c r="C26" s="7" t="n">
        <v>0</v>
      </c>
      <c r="D26" s="7" t="n">
        <v>2</v>
      </c>
      <c r="E26" s="7" t="n">
        <v>5</v>
      </c>
      <c r="F26" s="6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</row>
    <row r="27">
      <c r="A27" s="5" t="inlineStr">
        <is>
          <t>Residue content (27Q)</t>
        </is>
      </c>
      <c r="B27" s="6" t="inlineStr">
        <is>
          <t>cnt</t>
        </is>
      </c>
      <c r="C27" s="7" t="n">
        <v>0</v>
      </c>
      <c r="D27" s="7" t="n">
        <v>2</v>
      </c>
      <c r="E27" s="7" t="n">
        <v>4</v>
      </c>
      <c r="F27" s="6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</row>
    <row r="28">
      <c r="A28" s="5" t="inlineStr">
        <is>
          <t>TC Dust- Dark</t>
        </is>
      </c>
      <c r="B28" s="6" t="inlineStr">
        <is>
          <t>cnt</t>
        </is>
      </c>
      <c r="C28" s="7" t="n"/>
      <c r="D28" s="7" t="n"/>
      <c r="E28" s="7" t="n"/>
      <c r="F28" s="6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</row>
    <row r="29">
      <c r="A29" s="5" t="inlineStr">
        <is>
          <t>TC Dust- Light</t>
        </is>
      </c>
      <c r="B29" s="6" t="inlineStr">
        <is>
          <t>cnt</t>
        </is>
      </c>
      <c r="C29" s="7" t="n"/>
      <c r="D29" s="7" t="n"/>
      <c r="E29" s="7" t="n"/>
      <c r="F29" s="6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</row>
    <row r="32">
      <c r="A32" s="9" t="inlineStr">
        <is>
          <t>Note: values transcribed from the photo of your sheet (angled) — please verify against the source file. Blue cells on the chart sheets are formula-driven.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7" customWidth="1" min="11" max="11"/>
  </cols>
  <sheetData>
    <row r="1">
      <c r="A1" s="10" t="inlineStr">
        <is>
          <t>SPC CONTROL CHART  (Individuals / I-MR)</t>
        </is>
      </c>
      <c r="B1" s="2" t="n"/>
      <c r="C1" s="2" t="n"/>
      <c r="D1" s="2" t="n"/>
      <c r="E1" s="2" t="n"/>
      <c r="F1" s="2" t="n"/>
      <c r="G1" s="2" t="n"/>
      <c r="H1" s="2" t="n"/>
      <c r="I1" s="11" t="inlineStr">
        <is>
          <t>row idx →</t>
        </is>
      </c>
      <c r="J1">
        <f>MATCH($C$3,'Data'!$A$3:$A$12,0)</f>
        <v/>
      </c>
    </row>
    <row r="3">
      <c r="A3" s="12" t="inlineStr">
        <is>
          <t>Select Parameter:</t>
        </is>
      </c>
      <c r="C3" s="13" t="inlineStr">
        <is>
          <t>ED Bath NV%</t>
        </is>
      </c>
      <c r="E3" s="14" t="inlineStr">
        <is>
          <t>◀ pick from dropdown (4 fully-specified daily parameters)</t>
        </is>
      </c>
    </row>
    <row r="5">
      <c r="A5" s="15" t="inlineStr">
        <is>
          <t>Unit</t>
        </is>
      </c>
      <c r="C5" s="16">
        <f>INDEX('Data'!$B$3:$B$12,$J$1)</f>
        <v/>
      </c>
    </row>
    <row r="6">
      <c r="A6" s="15" t="inlineStr">
        <is>
          <t>LSL  (spec)</t>
        </is>
      </c>
      <c r="C6" s="17">
        <f>INDEX('Data'!$C$3:$C$12,$J$1)</f>
        <v/>
      </c>
    </row>
    <row r="7">
      <c r="A7" s="15" t="inlineStr">
        <is>
          <t>Target (spec)</t>
        </is>
      </c>
      <c r="C7" s="17">
        <f>INDEX('Data'!$D$3:$D$12,$J$1)</f>
        <v/>
      </c>
    </row>
    <row r="8">
      <c r="A8" s="15" t="inlineStr">
        <is>
          <t>USL  (spec)</t>
        </is>
      </c>
      <c r="C8" s="17">
        <f>INDEX('Data'!$E$3:$E$12,$J$1)</f>
        <v/>
      </c>
    </row>
    <row r="9">
      <c r="A9" s="15" t="inlineStr">
        <is>
          <t>n  (data points)</t>
        </is>
      </c>
      <c r="C9" s="18">
        <f>COUNT($C$21:$C$44)</f>
        <v/>
      </c>
    </row>
    <row r="10">
      <c r="A10" s="15" t="inlineStr">
        <is>
          <t>Mean  (Centre Line)</t>
        </is>
      </c>
      <c r="C10" s="19">
        <f>AVERAGE($C$21:$C$44)</f>
        <v/>
      </c>
    </row>
    <row r="11">
      <c r="A11" s="15" t="inlineStr">
        <is>
          <t>MR-bar  (avg moving range)</t>
        </is>
      </c>
      <c r="C11" s="19">
        <f>AVERAGE($K$22:$K$44)</f>
        <v/>
      </c>
    </row>
    <row r="12">
      <c r="A12" s="15" t="inlineStr">
        <is>
          <t>Sigma est.  = MR-bar/1.128</t>
        </is>
      </c>
      <c r="C12" s="19">
        <f>$C$11/1.128</f>
        <v/>
      </c>
    </row>
    <row r="13">
      <c r="A13" s="15" t="inlineStr">
        <is>
          <t>UCL  = Mean + 2.66×MR-bar</t>
        </is>
      </c>
      <c r="C13" s="19">
        <f>$C$10+2.66*$C$11</f>
        <v/>
      </c>
    </row>
    <row r="14">
      <c r="A14" s="15" t="inlineStr">
        <is>
          <t>LCL  = MAX(0, Mean − 2.66×MR-bar)</t>
        </is>
      </c>
      <c r="C14" s="19">
        <f>MAX(0,$C$10-2.66*$C$11)</f>
        <v/>
      </c>
    </row>
    <row r="15">
      <c r="A15" s="15" t="inlineStr">
        <is>
          <t>Cp   = (USL−LSL)/(6σ)</t>
        </is>
      </c>
      <c r="C15" s="17">
        <f>IF(AND(ISNUMBER($C$8),ISNUMBER($C$6),$C$12&gt;0),($C$8-$C$6)/(6*$C$12),"")</f>
        <v/>
      </c>
    </row>
    <row r="16">
      <c r="A16" s="15" t="inlineStr">
        <is>
          <t>Cpk  = min(USL−X̄, X̄−LSL)/(3σ)</t>
        </is>
      </c>
      <c r="C16" s="17">
        <f>IF(AND(ISNUMBER($C$8),ISNUMBER($C$6),$C$12&gt;0),MIN($C$8-$C$10,$C$10-$C$6)/(3*$C$12),"")</f>
        <v/>
      </c>
    </row>
    <row r="18">
      <c r="A18" s="20" t="inlineStr">
        <is>
          <t>Cpk ≥ 1.33 capable · 1.00–1.33 marginal · &lt;1.00 not capable · negative = mean outside spec</t>
        </is>
      </c>
    </row>
    <row r="20">
      <c r="A20" s="4" t="inlineStr">
        <is>
          <t>Day</t>
        </is>
      </c>
      <c r="B20" s="4" t="inlineStr">
        <is>
          <t>DayNo</t>
        </is>
      </c>
      <c r="C20" s="4" t="inlineStr">
        <is>
          <t>Value</t>
        </is>
      </c>
      <c r="D20" s="4" t="inlineStr">
        <is>
          <t>Mean</t>
        </is>
      </c>
      <c r="E20" s="4" t="inlineStr">
        <is>
          <t>UCL</t>
        </is>
      </c>
      <c r="F20" s="4" t="inlineStr">
        <is>
          <t>LCL</t>
        </is>
      </c>
      <c r="G20" s="4" t="inlineStr">
        <is>
          <t>USL</t>
        </is>
      </c>
      <c r="H20" s="4" t="inlineStr">
        <is>
          <t>LSL</t>
        </is>
      </c>
      <c r="K20" s="4" t="inlineStr">
        <is>
          <t>MR</t>
        </is>
      </c>
    </row>
    <row r="21">
      <c r="A21" s="6" t="inlineStr">
        <is>
          <t>Day 2</t>
        </is>
      </c>
      <c r="B21" s="6" t="n">
        <v>2</v>
      </c>
      <c r="C21" s="21">
        <f>IFERROR(INDEX('Data'!$G$3:$AF$12,$J$1,$B21),"")</f>
        <v/>
      </c>
      <c r="D21" s="21">
        <f>$C$10</f>
        <v/>
      </c>
      <c r="E21" s="21">
        <f>$C$13</f>
        <v/>
      </c>
      <c r="F21" s="21">
        <f>$C$14</f>
        <v/>
      </c>
      <c r="G21" s="21">
        <f>$C$8</f>
        <v/>
      </c>
      <c r="H21" s="21">
        <f>$C$6</f>
        <v/>
      </c>
    </row>
    <row r="22">
      <c r="A22" s="6" t="inlineStr">
        <is>
          <t>Day 3</t>
        </is>
      </c>
      <c r="B22" s="6" t="n">
        <v>3</v>
      </c>
      <c r="C22" s="21">
        <f>IFERROR(INDEX('Data'!$G$3:$AF$12,$J$1,$B22),"")</f>
        <v/>
      </c>
      <c r="D22" s="21">
        <f>$C$10</f>
        <v/>
      </c>
      <c r="E22" s="21">
        <f>$C$13</f>
        <v/>
      </c>
      <c r="F22" s="21">
        <f>$C$14</f>
        <v/>
      </c>
      <c r="G22" s="21">
        <f>$C$8</f>
        <v/>
      </c>
      <c r="H22" s="21">
        <f>$C$6</f>
        <v/>
      </c>
      <c r="K22" s="22">
        <f>ABS($C22-$C21)</f>
        <v/>
      </c>
    </row>
    <row r="23">
      <c r="A23" s="6" t="inlineStr">
        <is>
          <t>Day 4</t>
        </is>
      </c>
      <c r="B23" s="6" t="n">
        <v>4</v>
      </c>
      <c r="C23" s="21">
        <f>IFERROR(INDEX('Data'!$G$3:$AF$12,$J$1,$B23),"")</f>
        <v/>
      </c>
      <c r="D23" s="21">
        <f>$C$10</f>
        <v/>
      </c>
      <c r="E23" s="21">
        <f>$C$13</f>
        <v/>
      </c>
      <c r="F23" s="21">
        <f>$C$14</f>
        <v/>
      </c>
      <c r="G23" s="21">
        <f>$C$8</f>
        <v/>
      </c>
      <c r="H23" s="21">
        <f>$C$6</f>
        <v/>
      </c>
      <c r="K23" s="22">
        <f>ABS($C23-$C22)</f>
        <v/>
      </c>
    </row>
    <row r="24">
      <c r="A24" s="6" t="inlineStr">
        <is>
          <t>Day 5</t>
        </is>
      </c>
      <c r="B24" s="6" t="n">
        <v>5</v>
      </c>
      <c r="C24" s="21">
        <f>IFERROR(INDEX('Data'!$G$3:$AF$12,$J$1,$B24),"")</f>
        <v/>
      </c>
      <c r="D24" s="21">
        <f>$C$10</f>
        <v/>
      </c>
      <c r="E24" s="21">
        <f>$C$13</f>
        <v/>
      </c>
      <c r="F24" s="21">
        <f>$C$14</f>
        <v/>
      </c>
      <c r="G24" s="21">
        <f>$C$8</f>
        <v/>
      </c>
      <c r="H24" s="21">
        <f>$C$6</f>
        <v/>
      </c>
      <c r="K24" s="22">
        <f>ABS($C24-$C23)</f>
        <v/>
      </c>
    </row>
    <row r="25">
      <c r="A25" s="6" t="inlineStr">
        <is>
          <t>Day 6</t>
        </is>
      </c>
      <c r="B25" s="6" t="n">
        <v>6</v>
      </c>
      <c r="C25" s="21">
        <f>IFERROR(INDEX('Data'!$G$3:$AF$12,$J$1,$B25),"")</f>
        <v/>
      </c>
      <c r="D25" s="21">
        <f>$C$10</f>
        <v/>
      </c>
      <c r="E25" s="21">
        <f>$C$13</f>
        <v/>
      </c>
      <c r="F25" s="21">
        <f>$C$14</f>
        <v/>
      </c>
      <c r="G25" s="21">
        <f>$C$8</f>
        <v/>
      </c>
      <c r="H25" s="21">
        <f>$C$6</f>
        <v/>
      </c>
      <c r="K25" s="22">
        <f>ABS($C25-$C24)</f>
        <v/>
      </c>
    </row>
    <row r="26">
      <c r="A26" s="6" t="inlineStr">
        <is>
          <t>Day 7</t>
        </is>
      </c>
      <c r="B26" s="6" t="n">
        <v>7</v>
      </c>
      <c r="C26" s="21">
        <f>IFERROR(INDEX('Data'!$G$3:$AF$12,$J$1,$B26),"")</f>
        <v/>
      </c>
      <c r="D26" s="21">
        <f>$C$10</f>
        <v/>
      </c>
      <c r="E26" s="21">
        <f>$C$13</f>
        <v/>
      </c>
      <c r="F26" s="21">
        <f>$C$14</f>
        <v/>
      </c>
      <c r="G26" s="21">
        <f>$C$8</f>
        <v/>
      </c>
      <c r="H26" s="21">
        <f>$C$6</f>
        <v/>
      </c>
      <c r="K26" s="22">
        <f>ABS($C26-$C25)</f>
        <v/>
      </c>
    </row>
    <row r="27">
      <c r="A27" s="6" t="inlineStr">
        <is>
          <t>Day 8</t>
        </is>
      </c>
      <c r="B27" s="6" t="n">
        <v>8</v>
      </c>
      <c r="C27" s="21">
        <f>IFERROR(INDEX('Data'!$G$3:$AF$12,$J$1,$B27),"")</f>
        <v/>
      </c>
      <c r="D27" s="21">
        <f>$C$10</f>
        <v/>
      </c>
      <c r="E27" s="21">
        <f>$C$13</f>
        <v/>
      </c>
      <c r="F27" s="21">
        <f>$C$14</f>
        <v/>
      </c>
      <c r="G27" s="21">
        <f>$C$8</f>
        <v/>
      </c>
      <c r="H27" s="21">
        <f>$C$6</f>
        <v/>
      </c>
      <c r="K27" s="22">
        <f>ABS($C27-$C26)</f>
        <v/>
      </c>
    </row>
    <row r="28">
      <c r="A28" s="6" t="inlineStr">
        <is>
          <t>Day 9</t>
        </is>
      </c>
      <c r="B28" s="6" t="n">
        <v>9</v>
      </c>
      <c r="C28" s="21">
        <f>IFERROR(INDEX('Data'!$G$3:$AF$12,$J$1,$B28),"")</f>
        <v/>
      </c>
      <c r="D28" s="21">
        <f>$C$10</f>
        <v/>
      </c>
      <c r="E28" s="21">
        <f>$C$13</f>
        <v/>
      </c>
      <c r="F28" s="21">
        <f>$C$14</f>
        <v/>
      </c>
      <c r="G28" s="21">
        <f>$C$8</f>
        <v/>
      </c>
      <c r="H28" s="21">
        <f>$C$6</f>
        <v/>
      </c>
      <c r="K28" s="22">
        <f>ABS($C28-$C27)</f>
        <v/>
      </c>
    </row>
    <row r="29">
      <c r="A29" s="6" t="inlineStr">
        <is>
          <t>Day 10</t>
        </is>
      </c>
      <c r="B29" s="6" t="n">
        <v>10</v>
      </c>
      <c r="C29" s="21">
        <f>IFERROR(INDEX('Data'!$G$3:$AF$12,$J$1,$B29),"")</f>
        <v/>
      </c>
      <c r="D29" s="21">
        <f>$C$10</f>
        <v/>
      </c>
      <c r="E29" s="21">
        <f>$C$13</f>
        <v/>
      </c>
      <c r="F29" s="21">
        <f>$C$14</f>
        <v/>
      </c>
      <c r="G29" s="21">
        <f>$C$8</f>
        <v/>
      </c>
      <c r="H29" s="21">
        <f>$C$6</f>
        <v/>
      </c>
      <c r="K29" s="22">
        <f>ABS($C29-$C28)</f>
        <v/>
      </c>
    </row>
    <row r="30">
      <c r="A30" s="6" t="inlineStr">
        <is>
          <t>Day 11</t>
        </is>
      </c>
      <c r="B30" s="6" t="n">
        <v>11</v>
      </c>
      <c r="C30" s="21">
        <f>IFERROR(INDEX('Data'!$G$3:$AF$12,$J$1,$B30),"")</f>
        <v/>
      </c>
      <c r="D30" s="21">
        <f>$C$10</f>
        <v/>
      </c>
      <c r="E30" s="21">
        <f>$C$13</f>
        <v/>
      </c>
      <c r="F30" s="21">
        <f>$C$14</f>
        <v/>
      </c>
      <c r="G30" s="21">
        <f>$C$8</f>
        <v/>
      </c>
      <c r="H30" s="21">
        <f>$C$6</f>
        <v/>
      </c>
      <c r="K30" s="22">
        <f>ABS($C30-$C29)</f>
        <v/>
      </c>
    </row>
    <row r="31">
      <c r="A31" s="6" t="inlineStr">
        <is>
          <t>Day 12</t>
        </is>
      </c>
      <c r="B31" s="6" t="n">
        <v>12</v>
      </c>
      <c r="C31" s="21">
        <f>IFERROR(INDEX('Data'!$G$3:$AF$12,$J$1,$B31),"")</f>
        <v/>
      </c>
      <c r="D31" s="21">
        <f>$C$10</f>
        <v/>
      </c>
      <c r="E31" s="21">
        <f>$C$13</f>
        <v/>
      </c>
      <c r="F31" s="21">
        <f>$C$14</f>
        <v/>
      </c>
      <c r="G31" s="21">
        <f>$C$8</f>
        <v/>
      </c>
      <c r="H31" s="21">
        <f>$C$6</f>
        <v/>
      </c>
      <c r="K31" s="22">
        <f>ABS($C31-$C30)</f>
        <v/>
      </c>
    </row>
    <row r="32">
      <c r="A32" s="6" t="inlineStr">
        <is>
          <t>Day 13</t>
        </is>
      </c>
      <c r="B32" s="6" t="n">
        <v>13</v>
      </c>
      <c r="C32" s="21">
        <f>IFERROR(INDEX('Data'!$G$3:$AF$12,$J$1,$B32),"")</f>
        <v/>
      </c>
      <c r="D32" s="21">
        <f>$C$10</f>
        <v/>
      </c>
      <c r="E32" s="21">
        <f>$C$13</f>
        <v/>
      </c>
      <c r="F32" s="21">
        <f>$C$14</f>
        <v/>
      </c>
      <c r="G32" s="21">
        <f>$C$8</f>
        <v/>
      </c>
      <c r="H32" s="21">
        <f>$C$6</f>
        <v/>
      </c>
      <c r="K32" s="22">
        <f>ABS($C32-$C31)</f>
        <v/>
      </c>
    </row>
    <row r="33">
      <c r="A33" s="6" t="inlineStr">
        <is>
          <t>Day 14</t>
        </is>
      </c>
      <c r="B33" s="6" t="n">
        <v>14</v>
      </c>
      <c r="C33" s="21">
        <f>IFERROR(INDEX('Data'!$G$3:$AF$12,$J$1,$B33),"")</f>
        <v/>
      </c>
      <c r="D33" s="21">
        <f>$C$10</f>
        <v/>
      </c>
      <c r="E33" s="21">
        <f>$C$13</f>
        <v/>
      </c>
      <c r="F33" s="21">
        <f>$C$14</f>
        <v/>
      </c>
      <c r="G33" s="21">
        <f>$C$8</f>
        <v/>
      </c>
      <c r="H33" s="21">
        <f>$C$6</f>
        <v/>
      </c>
      <c r="K33" s="22">
        <f>ABS($C33-$C32)</f>
        <v/>
      </c>
    </row>
    <row r="34">
      <c r="A34" s="6" t="inlineStr">
        <is>
          <t>Day 15</t>
        </is>
      </c>
      <c r="B34" s="6" t="n">
        <v>15</v>
      </c>
      <c r="C34" s="21">
        <f>IFERROR(INDEX('Data'!$G$3:$AF$12,$J$1,$B34),"")</f>
        <v/>
      </c>
      <c r="D34" s="21">
        <f>$C$10</f>
        <v/>
      </c>
      <c r="E34" s="21">
        <f>$C$13</f>
        <v/>
      </c>
      <c r="F34" s="21">
        <f>$C$14</f>
        <v/>
      </c>
      <c r="G34" s="21">
        <f>$C$8</f>
        <v/>
      </c>
      <c r="H34" s="21">
        <f>$C$6</f>
        <v/>
      </c>
      <c r="K34" s="22">
        <f>ABS($C34-$C33)</f>
        <v/>
      </c>
    </row>
    <row r="35">
      <c r="A35" s="6" t="inlineStr">
        <is>
          <t>Day 16</t>
        </is>
      </c>
      <c r="B35" s="6" t="n">
        <v>16</v>
      </c>
      <c r="C35" s="21">
        <f>IFERROR(INDEX('Data'!$G$3:$AF$12,$J$1,$B35),"")</f>
        <v/>
      </c>
      <c r="D35" s="21">
        <f>$C$10</f>
        <v/>
      </c>
      <c r="E35" s="21">
        <f>$C$13</f>
        <v/>
      </c>
      <c r="F35" s="21">
        <f>$C$14</f>
        <v/>
      </c>
      <c r="G35" s="21">
        <f>$C$8</f>
        <v/>
      </c>
      <c r="H35" s="21">
        <f>$C$6</f>
        <v/>
      </c>
      <c r="K35" s="22">
        <f>ABS($C35-$C34)</f>
        <v/>
      </c>
    </row>
    <row r="36">
      <c r="A36" s="6" t="inlineStr">
        <is>
          <t>Day 17</t>
        </is>
      </c>
      <c r="B36" s="6" t="n">
        <v>17</v>
      </c>
      <c r="C36" s="21">
        <f>IFERROR(INDEX('Data'!$G$3:$AF$12,$J$1,$B36),"")</f>
        <v/>
      </c>
      <c r="D36" s="21">
        <f>$C$10</f>
        <v/>
      </c>
      <c r="E36" s="21">
        <f>$C$13</f>
        <v/>
      </c>
      <c r="F36" s="21">
        <f>$C$14</f>
        <v/>
      </c>
      <c r="G36" s="21">
        <f>$C$8</f>
        <v/>
      </c>
      <c r="H36" s="21">
        <f>$C$6</f>
        <v/>
      </c>
      <c r="K36" s="22">
        <f>ABS($C36-$C35)</f>
        <v/>
      </c>
    </row>
    <row r="37">
      <c r="A37" s="6" t="inlineStr">
        <is>
          <t>Day 18</t>
        </is>
      </c>
      <c r="B37" s="6" t="n">
        <v>18</v>
      </c>
      <c r="C37" s="21">
        <f>IFERROR(INDEX('Data'!$G$3:$AF$12,$J$1,$B37),"")</f>
        <v/>
      </c>
      <c r="D37" s="21">
        <f>$C$10</f>
        <v/>
      </c>
      <c r="E37" s="21">
        <f>$C$13</f>
        <v/>
      </c>
      <c r="F37" s="21">
        <f>$C$14</f>
        <v/>
      </c>
      <c r="G37" s="21">
        <f>$C$8</f>
        <v/>
      </c>
      <c r="H37" s="21">
        <f>$C$6</f>
        <v/>
      </c>
      <c r="K37" s="22">
        <f>ABS($C37-$C36)</f>
        <v/>
      </c>
    </row>
    <row r="38">
      <c r="A38" s="6" t="inlineStr">
        <is>
          <t>Day 19</t>
        </is>
      </c>
      <c r="B38" s="6" t="n">
        <v>19</v>
      </c>
      <c r="C38" s="21">
        <f>IFERROR(INDEX('Data'!$G$3:$AF$12,$J$1,$B38),"")</f>
        <v/>
      </c>
      <c r="D38" s="21">
        <f>$C$10</f>
        <v/>
      </c>
      <c r="E38" s="21">
        <f>$C$13</f>
        <v/>
      </c>
      <c r="F38" s="21">
        <f>$C$14</f>
        <v/>
      </c>
      <c r="G38" s="21">
        <f>$C$8</f>
        <v/>
      </c>
      <c r="H38" s="21">
        <f>$C$6</f>
        <v/>
      </c>
      <c r="K38" s="22">
        <f>ABS($C38-$C37)</f>
        <v/>
      </c>
    </row>
    <row r="39">
      <c r="A39" s="6" t="inlineStr">
        <is>
          <t>Day 20</t>
        </is>
      </c>
      <c r="B39" s="6" t="n">
        <v>20</v>
      </c>
      <c r="C39" s="21">
        <f>IFERROR(INDEX('Data'!$G$3:$AF$12,$J$1,$B39),"")</f>
        <v/>
      </c>
      <c r="D39" s="21">
        <f>$C$10</f>
        <v/>
      </c>
      <c r="E39" s="21">
        <f>$C$13</f>
        <v/>
      </c>
      <c r="F39" s="21">
        <f>$C$14</f>
        <v/>
      </c>
      <c r="G39" s="21">
        <f>$C$8</f>
        <v/>
      </c>
      <c r="H39" s="21">
        <f>$C$6</f>
        <v/>
      </c>
      <c r="K39" s="22">
        <f>ABS($C39-$C38)</f>
        <v/>
      </c>
    </row>
    <row r="40">
      <c r="A40" s="6" t="inlineStr">
        <is>
          <t>Day 21</t>
        </is>
      </c>
      <c r="B40" s="6" t="n">
        <v>21</v>
      </c>
      <c r="C40" s="21">
        <f>IFERROR(INDEX('Data'!$G$3:$AF$12,$J$1,$B40),"")</f>
        <v/>
      </c>
      <c r="D40" s="21">
        <f>$C$10</f>
        <v/>
      </c>
      <c r="E40" s="21">
        <f>$C$13</f>
        <v/>
      </c>
      <c r="F40" s="21">
        <f>$C$14</f>
        <v/>
      </c>
      <c r="G40" s="21">
        <f>$C$8</f>
        <v/>
      </c>
      <c r="H40" s="21">
        <f>$C$6</f>
        <v/>
      </c>
      <c r="K40" s="22">
        <f>ABS($C40-$C39)</f>
        <v/>
      </c>
    </row>
    <row r="41">
      <c r="A41" s="6" t="inlineStr">
        <is>
          <t>Day 22</t>
        </is>
      </c>
      <c r="B41" s="6" t="n">
        <v>22</v>
      </c>
      <c r="C41" s="21">
        <f>IFERROR(INDEX('Data'!$G$3:$AF$12,$J$1,$B41),"")</f>
        <v/>
      </c>
      <c r="D41" s="21">
        <f>$C$10</f>
        <v/>
      </c>
      <c r="E41" s="21">
        <f>$C$13</f>
        <v/>
      </c>
      <c r="F41" s="21">
        <f>$C$14</f>
        <v/>
      </c>
      <c r="G41" s="21">
        <f>$C$8</f>
        <v/>
      </c>
      <c r="H41" s="21">
        <f>$C$6</f>
        <v/>
      </c>
      <c r="K41" s="22">
        <f>ABS($C41-$C40)</f>
        <v/>
      </c>
    </row>
    <row r="42">
      <c r="A42" s="6" t="inlineStr">
        <is>
          <t>Day 23</t>
        </is>
      </c>
      <c r="B42" s="6" t="n">
        <v>23</v>
      </c>
      <c r="C42" s="21">
        <f>IFERROR(INDEX('Data'!$G$3:$AF$12,$J$1,$B42),"")</f>
        <v/>
      </c>
      <c r="D42" s="21">
        <f>$C$10</f>
        <v/>
      </c>
      <c r="E42" s="21">
        <f>$C$13</f>
        <v/>
      </c>
      <c r="F42" s="21">
        <f>$C$14</f>
        <v/>
      </c>
      <c r="G42" s="21">
        <f>$C$8</f>
        <v/>
      </c>
      <c r="H42" s="21">
        <f>$C$6</f>
        <v/>
      </c>
      <c r="K42" s="22">
        <f>ABS($C42-$C41)</f>
        <v/>
      </c>
    </row>
    <row r="43">
      <c r="A43" s="6" t="inlineStr">
        <is>
          <t>Day 24</t>
        </is>
      </c>
      <c r="B43" s="6" t="n">
        <v>24</v>
      </c>
      <c r="C43" s="21">
        <f>IFERROR(INDEX('Data'!$G$3:$AF$12,$J$1,$B43),"")</f>
        <v/>
      </c>
      <c r="D43" s="21">
        <f>$C$10</f>
        <v/>
      </c>
      <c r="E43" s="21">
        <f>$C$13</f>
        <v/>
      </c>
      <c r="F43" s="21">
        <f>$C$14</f>
        <v/>
      </c>
      <c r="G43" s="21">
        <f>$C$8</f>
        <v/>
      </c>
      <c r="H43" s="21">
        <f>$C$6</f>
        <v/>
      </c>
      <c r="K43" s="22">
        <f>ABS($C43-$C42)</f>
        <v/>
      </c>
    </row>
    <row r="44">
      <c r="A44" s="6" t="inlineStr">
        <is>
          <t>Day 25</t>
        </is>
      </c>
      <c r="B44" s="6" t="n">
        <v>25</v>
      </c>
      <c r="C44" s="21">
        <f>IFERROR(INDEX('Data'!$G$3:$AF$12,$J$1,$B44),"")</f>
        <v/>
      </c>
      <c r="D44" s="21">
        <f>$C$10</f>
        <v/>
      </c>
      <c r="E44" s="21">
        <f>$C$13</f>
        <v/>
      </c>
      <c r="F44" s="21">
        <f>$C$14</f>
        <v/>
      </c>
      <c r="G44" s="21">
        <f>$C$8</f>
        <v/>
      </c>
      <c r="H44" s="21">
        <f>$C$6</f>
        <v/>
      </c>
      <c r="K44" s="22">
        <f>ABS($C44-$C43)</f>
        <v/>
      </c>
    </row>
  </sheetData>
  <mergeCells count="1">
    <mergeCell ref="A18:C18"/>
  </mergeCells>
  <dataValidations count="1">
    <dataValidation sqref="C3" showDropDown="0" showInputMessage="0" showErrorMessage="0" allowBlank="0" type="list">
      <formula1>"ED Bath NV%,ED Bath pH,ED Drops,ED Dust"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selection activeCell="A1" sqref="A1"/>
    </sheetView>
  </sheetViews>
  <sheetFormatPr baseColWidth="8" defaultRowHeight="15"/>
  <cols>
    <col width="26" customWidth="1" min="1" max="1"/>
  </cols>
  <sheetData>
    <row r="1">
      <c r="A1" s="1" t="inlineStr">
        <is>
          <t>PHOSPHATE SLUDGE — Control Chart (rising-trend / USL breach)</t>
        </is>
      </c>
      <c r="B1" s="2" t="n"/>
      <c r="C1" s="2" t="n"/>
      <c r="D1" s="2" t="n"/>
      <c r="E1" s="2" t="n"/>
      <c r="F1" s="2" t="n"/>
      <c r="G1" s="2" t="n"/>
      <c r="H1" s="2" t="n"/>
    </row>
    <row r="3">
      <c r="A3" s="15" t="inlineStr">
        <is>
          <t>USL (spec)</t>
        </is>
      </c>
      <c r="C3" s="23">
        <f>'Data'!$E$10</f>
        <v/>
      </c>
    </row>
    <row r="4">
      <c r="A4" s="15" t="inlineStr">
        <is>
          <t>Target</t>
        </is>
      </c>
      <c r="C4" s="23">
        <f>'Data'!$D$10</f>
        <v/>
      </c>
    </row>
    <row r="5">
      <c r="A5" s="15" t="inlineStr">
        <is>
          <t>LSL (spec)</t>
        </is>
      </c>
      <c r="C5" s="23">
        <f>'Data'!$C$10</f>
        <v/>
      </c>
    </row>
    <row r="6">
      <c r="A6" s="15" t="inlineStr">
        <is>
          <t>Mean</t>
        </is>
      </c>
      <c r="C6" s="23">
        <f>AVERAGE($C$12:$C$26)</f>
        <v/>
      </c>
    </row>
    <row r="7">
      <c r="A7" s="15" t="inlineStr">
        <is>
          <t>MR-bar</t>
        </is>
      </c>
      <c r="C7" s="24">
        <f>AVERAGE($H$13:$H$26)</f>
        <v/>
      </c>
    </row>
    <row r="8">
      <c r="A8" s="15" t="inlineStr">
        <is>
          <t>UCL = Mean+2.66×MR-bar</t>
        </is>
      </c>
      <c r="C8" s="23">
        <f>$C$6+2.66*$C$7</f>
        <v/>
      </c>
    </row>
    <row r="9">
      <c r="A9" s="15" t="inlineStr">
        <is>
          <t>LCL = MAX(0,Mean−2.66×MR-bar)</t>
        </is>
      </c>
      <c r="C9" s="23">
        <f>MAX(0,$C$6-2.66*$C$7)</f>
        <v/>
      </c>
    </row>
    <row r="11">
      <c r="A11" s="4" t="inlineStr">
        <is>
          <t>Day</t>
        </is>
      </c>
      <c r="B11" s="4" t="inlineStr">
        <is>
          <t>Value</t>
        </is>
      </c>
      <c r="C11" s="4" t="inlineStr">
        <is>
          <t>Mean</t>
        </is>
      </c>
      <c r="D11" s="4" t="inlineStr">
        <is>
          <t>UCL</t>
        </is>
      </c>
      <c r="E11" s="4" t="inlineStr">
        <is>
          <t>LCL</t>
        </is>
      </c>
      <c r="F11" s="4" t="inlineStr">
        <is>
          <t>USL</t>
        </is>
      </c>
      <c r="G11" s="4" t="inlineStr">
        <is>
          <t>LSL</t>
        </is>
      </c>
      <c r="H11" s="4" t="inlineStr">
        <is>
          <t>MR</t>
        </is>
      </c>
    </row>
    <row r="12">
      <c r="A12" s="6" t="inlineStr">
        <is>
          <t>Day 7</t>
        </is>
      </c>
      <c r="B12" s="21">
        <f>'Data'!M10</f>
        <v/>
      </c>
      <c r="C12" s="21">
        <f>$C$6</f>
        <v/>
      </c>
      <c r="D12" s="21">
        <f>$C$8</f>
        <v/>
      </c>
      <c r="E12" s="21">
        <f>$C$9</f>
        <v/>
      </c>
      <c r="F12" s="21">
        <f>$C$3</f>
        <v/>
      </c>
      <c r="G12" s="21">
        <f>$C$5</f>
        <v/>
      </c>
    </row>
    <row r="13">
      <c r="A13" s="6" t="inlineStr">
        <is>
          <t>Day 11</t>
        </is>
      </c>
      <c r="B13" s="21">
        <f>'Data'!Q10</f>
        <v/>
      </c>
      <c r="C13" s="21">
        <f>$C$6</f>
        <v/>
      </c>
      <c r="D13" s="21">
        <f>$C$8</f>
        <v/>
      </c>
      <c r="E13" s="21">
        <f>$C$9</f>
        <v/>
      </c>
      <c r="F13" s="21">
        <f>$C$3</f>
        <v/>
      </c>
      <c r="G13" s="21">
        <f>$C$5</f>
        <v/>
      </c>
      <c r="H13" s="22">
        <f>ABS($B13-$B12)</f>
        <v/>
      </c>
    </row>
    <row r="14">
      <c r="A14" s="6" t="inlineStr">
        <is>
          <t>Day 12</t>
        </is>
      </c>
      <c r="B14" s="21">
        <f>'Data'!R10</f>
        <v/>
      </c>
      <c r="C14" s="21">
        <f>$C$6</f>
        <v/>
      </c>
      <c r="D14" s="21">
        <f>$C$8</f>
        <v/>
      </c>
      <c r="E14" s="21">
        <f>$C$9</f>
        <v/>
      </c>
      <c r="F14" s="21">
        <f>$C$3</f>
        <v/>
      </c>
      <c r="G14" s="21">
        <f>$C$5</f>
        <v/>
      </c>
      <c r="H14" s="22">
        <f>ABS($B14-$B13)</f>
        <v/>
      </c>
    </row>
    <row r="15">
      <c r="A15" s="6" t="inlineStr">
        <is>
          <t>Day 13</t>
        </is>
      </c>
      <c r="B15" s="21">
        <f>'Data'!S10</f>
        <v/>
      </c>
      <c r="C15" s="21">
        <f>$C$6</f>
        <v/>
      </c>
      <c r="D15" s="21">
        <f>$C$8</f>
        <v/>
      </c>
      <c r="E15" s="21">
        <f>$C$9</f>
        <v/>
      </c>
      <c r="F15" s="21">
        <f>$C$3</f>
        <v/>
      </c>
      <c r="G15" s="21">
        <f>$C$5</f>
        <v/>
      </c>
      <c r="H15" s="22">
        <f>ABS($B15-$B14)</f>
        <v/>
      </c>
    </row>
    <row r="16">
      <c r="A16" s="6" t="inlineStr">
        <is>
          <t>Day 14</t>
        </is>
      </c>
      <c r="B16" s="21">
        <f>'Data'!T10</f>
        <v/>
      </c>
      <c r="C16" s="21">
        <f>$C$6</f>
        <v/>
      </c>
      <c r="D16" s="21">
        <f>$C$8</f>
        <v/>
      </c>
      <c r="E16" s="21">
        <f>$C$9</f>
        <v/>
      </c>
      <c r="F16" s="21">
        <f>$C$3</f>
        <v/>
      </c>
      <c r="G16" s="21">
        <f>$C$5</f>
        <v/>
      </c>
      <c r="H16" s="22">
        <f>ABS($B16-$B15)</f>
        <v/>
      </c>
    </row>
    <row r="17">
      <c r="A17" s="6" t="inlineStr">
        <is>
          <t>Day 15</t>
        </is>
      </c>
      <c r="B17" s="21">
        <f>'Data'!U10</f>
        <v/>
      </c>
      <c r="C17" s="21">
        <f>$C$6</f>
        <v/>
      </c>
      <c r="D17" s="21">
        <f>$C$8</f>
        <v/>
      </c>
      <c r="E17" s="21">
        <f>$C$9</f>
        <v/>
      </c>
      <c r="F17" s="21">
        <f>$C$3</f>
        <v/>
      </c>
      <c r="G17" s="21">
        <f>$C$5</f>
        <v/>
      </c>
      <c r="H17" s="22">
        <f>ABS($B17-$B16)</f>
        <v/>
      </c>
    </row>
    <row r="18">
      <c r="A18" s="6" t="inlineStr">
        <is>
          <t>Day 16</t>
        </is>
      </c>
      <c r="B18" s="21">
        <f>'Data'!V10</f>
        <v/>
      </c>
      <c r="C18" s="21">
        <f>$C$6</f>
        <v/>
      </c>
      <c r="D18" s="21">
        <f>$C$8</f>
        <v/>
      </c>
      <c r="E18" s="21">
        <f>$C$9</f>
        <v/>
      </c>
      <c r="F18" s="21">
        <f>$C$3</f>
        <v/>
      </c>
      <c r="G18" s="21">
        <f>$C$5</f>
        <v/>
      </c>
      <c r="H18" s="22">
        <f>ABS($B18-$B17)</f>
        <v/>
      </c>
    </row>
    <row r="19">
      <c r="A19" s="6" t="inlineStr">
        <is>
          <t>Day 17</t>
        </is>
      </c>
      <c r="B19" s="21">
        <f>'Data'!W10</f>
        <v/>
      </c>
      <c r="C19" s="21">
        <f>$C$6</f>
        <v/>
      </c>
      <c r="D19" s="21">
        <f>$C$8</f>
        <v/>
      </c>
      <c r="E19" s="21">
        <f>$C$9</f>
        <v/>
      </c>
      <c r="F19" s="21">
        <f>$C$3</f>
        <v/>
      </c>
      <c r="G19" s="21">
        <f>$C$5</f>
        <v/>
      </c>
      <c r="H19" s="22">
        <f>ABS($B19-$B18)</f>
        <v/>
      </c>
    </row>
    <row r="20">
      <c r="A20" s="6" t="inlineStr">
        <is>
          <t>Day 18</t>
        </is>
      </c>
      <c r="B20" s="21">
        <f>'Data'!X10</f>
        <v/>
      </c>
      <c r="C20" s="21">
        <f>$C$6</f>
        <v/>
      </c>
      <c r="D20" s="21">
        <f>$C$8</f>
        <v/>
      </c>
      <c r="E20" s="21">
        <f>$C$9</f>
        <v/>
      </c>
      <c r="F20" s="21">
        <f>$C$3</f>
        <v/>
      </c>
      <c r="G20" s="21">
        <f>$C$5</f>
        <v/>
      </c>
      <c r="H20" s="22">
        <f>ABS($B20-$B19)</f>
        <v/>
      </c>
    </row>
    <row r="21">
      <c r="A21" s="6" t="inlineStr">
        <is>
          <t>Day 19</t>
        </is>
      </c>
      <c r="B21" s="21">
        <f>'Data'!Y10</f>
        <v/>
      </c>
      <c r="C21" s="21">
        <f>$C$6</f>
        <v/>
      </c>
      <c r="D21" s="21">
        <f>$C$8</f>
        <v/>
      </c>
      <c r="E21" s="21">
        <f>$C$9</f>
        <v/>
      </c>
      <c r="F21" s="21">
        <f>$C$3</f>
        <v/>
      </c>
      <c r="G21" s="21">
        <f>$C$5</f>
        <v/>
      </c>
      <c r="H21" s="22">
        <f>ABS($B21-$B20)</f>
        <v/>
      </c>
    </row>
    <row r="22">
      <c r="A22" s="6" t="inlineStr">
        <is>
          <t>Day 20</t>
        </is>
      </c>
      <c r="B22" s="21">
        <f>'Data'!Z10</f>
        <v/>
      </c>
      <c r="C22" s="21">
        <f>$C$6</f>
        <v/>
      </c>
      <c r="D22" s="21">
        <f>$C$8</f>
        <v/>
      </c>
      <c r="E22" s="21">
        <f>$C$9</f>
        <v/>
      </c>
      <c r="F22" s="21">
        <f>$C$3</f>
        <v/>
      </c>
      <c r="G22" s="21">
        <f>$C$5</f>
        <v/>
      </c>
      <c r="H22" s="22">
        <f>ABS($B22-$B21)</f>
        <v/>
      </c>
    </row>
    <row r="23">
      <c r="A23" s="6" t="inlineStr">
        <is>
          <t>Day 21</t>
        </is>
      </c>
      <c r="B23" s="21">
        <f>'Data'!AA10</f>
        <v/>
      </c>
      <c r="C23" s="21">
        <f>$C$6</f>
        <v/>
      </c>
      <c r="D23" s="21">
        <f>$C$8</f>
        <v/>
      </c>
      <c r="E23" s="21">
        <f>$C$9</f>
        <v/>
      </c>
      <c r="F23" s="21">
        <f>$C$3</f>
        <v/>
      </c>
      <c r="G23" s="21">
        <f>$C$5</f>
        <v/>
      </c>
      <c r="H23" s="22">
        <f>ABS($B23-$B22)</f>
        <v/>
      </c>
    </row>
    <row r="24">
      <c r="A24" s="6" t="inlineStr">
        <is>
          <t>Day 22</t>
        </is>
      </c>
      <c r="B24" s="21">
        <f>'Data'!AB10</f>
        <v/>
      </c>
      <c r="C24" s="21">
        <f>$C$6</f>
        <v/>
      </c>
      <c r="D24" s="21">
        <f>$C$8</f>
        <v/>
      </c>
      <c r="E24" s="21">
        <f>$C$9</f>
        <v/>
      </c>
      <c r="F24" s="21">
        <f>$C$3</f>
        <v/>
      </c>
      <c r="G24" s="21">
        <f>$C$5</f>
        <v/>
      </c>
      <c r="H24" s="22">
        <f>ABS($B24-$B23)</f>
        <v/>
      </c>
    </row>
    <row r="25">
      <c r="A25" s="6" t="inlineStr">
        <is>
          <t>Day 23</t>
        </is>
      </c>
      <c r="B25" s="21">
        <f>'Data'!AC10</f>
        <v/>
      </c>
      <c r="C25" s="21">
        <f>$C$6</f>
        <v/>
      </c>
      <c r="D25" s="21">
        <f>$C$8</f>
        <v/>
      </c>
      <c r="E25" s="21">
        <f>$C$9</f>
        <v/>
      </c>
      <c r="F25" s="21">
        <f>$C$3</f>
        <v/>
      </c>
      <c r="G25" s="21">
        <f>$C$5</f>
        <v/>
      </c>
      <c r="H25" s="22">
        <f>ABS($B25-$B24)</f>
        <v/>
      </c>
    </row>
    <row r="26">
      <c r="A26" s="6" t="inlineStr">
        <is>
          <t>Day 24</t>
        </is>
      </c>
      <c r="B26" s="21">
        <f>'Data'!AD10</f>
        <v/>
      </c>
      <c r="C26" s="21">
        <f>$C$6</f>
        <v/>
      </c>
      <c r="D26" s="21">
        <f>$C$8</f>
        <v/>
      </c>
      <c r="E26" s="21">
        <f>$C$9</f>
        <v/>
      </c>
      <c r="F26" s="21">
        <f>$C$3</f>
        <v/>
      </c>
      <c r="G26" s="21">
        <f>$C$5</f>
        <v/>
      </c>
      <c r="H26" s="22">
        <f>ABS($B26-$B25)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00" customWidth="1" min="3" max="3"/>
  </cols>
  <sheetData>
    <row r="2" ht="24" customHeight="1">
      <c r="B2" s="25" t="inlineStr">
        <is>
          <t>ANALYSIS &amp; INSIGHTS — PTED Monitoring (current month)</t>
        </is>
      </c>
      <c r="C2" s="26" t="n"/>
    </row>
    <row r="4" ht="8" customHeight="1">
      <c r="B4" s="27" t="inlineStr"/>
      <c r="C4" s="28" t="inlineStr"/>
    </row>
    <row r="5" ht="8" customHeight="1">
      <c r="B5" s="29" t="inlineStr">
        <is>
          <t>PRIORITY ISSUES</t>
        </is>
      </c>
      <c r="C5" s="29" t="inlineStr"/>
    </row>
    <row r="6" ht="30" customHeight="1">
      <c r="B6" s="27" t="inlineStr">
        <is>
          <t>1. ED Drops — OUT OF SPEC</t>
        </is>
      </c>
      <c r="C6" s="28" t="inlineStr">
        <is>
          <t>Daily values 1.2–4.6 vs USL 1.00 (target 0.50). Every single day is above the upper spec limit; Jul avg 2.18. Cpk is strongly negative — the process mean sits well outside spec. This is the #1 action item and links to ED-bath NV / drop-control work.</t>
        </is>
      </c>
    </row>
    <row r="7" ht="30" customHeight="1">
      <c r="B7" s="27" t="inlineStr">
        <is>
          <t>2. Phosphate Sludge — rising, breached USL</t>
        </is>
      </c>
      <c r="C7" s="28" t="inlineStr">
        <is>
          <t>Climbed Day11→19 from 72 to 141 ppm, crossing USL 140 at Day19, then dropped to 93 (Day21) — consistent with a de-sludging action. Trend is the risk, not a single point. Add a reaction trigger around 120 ppm and schedule de-sludging before USL.</t>
        </is>
      </c>
    </row>
    <row r="8" ht="30" customHeight="1">
      <c r="B8" s="27" t="inlineStr">
        <is>
          <t>3. ED Bath pH — low-side bias</t>
        </is>
      </c>
      <c r="C8" s="28" t="inlineStr">
        <is>
          <t>Runs at 5.3 nearly every day = right at LSL 5.30, below target 5.55. Little margin before going out of spec on the low side. Nudge control toward 5.5–5.6.</t>
        </is>
      </c>
    </row>
    <row r="9" ht="8" customHeight="1">
      <c r="B9" s="27" t="inlineStr"/>
      <c r="C9" s="28" t="inlineStr"/>
    </row>
    <row r="10" ht="8" customHeight="1">
      <c r="B10" s="30" t="inlineStr">
        <is>
          <t>IMPROVING / GOOD</t>
        </is>
      </c>
      <c r="C10" s="30" t="inlineStr"/>
    </row>
    <row r="11" ht="30" customHeight="1">
      <c r="B11" s="27" t="inlineStr">
        <is>
          <t>4. ED Dust — improving fast</t>
        </is>
      </c>
      <c r="C11" s="28" t="inlineStr">
        <is>
          <t>Clear downward trend: 7.8 (Day2) → ~2.6 mid-month → 0.4 (Day25). Countermeasures are working. Still above USL 1.0 on most days, so keep going to bring it inside spec.</t>
        </is>
      </c>
    </row>
    <row r="12" ht="30" customHeight="1">
      <c r="B12" s="27" t="inlineStr">
        <is>
          <t>5. ED Bath NV% — mostly in control</t>
        </is>
      </c>
      <c r="C12" s="28" t="inlineStr">
        <is>
          <t>Range 17.3–19.0 within spec (17–19). Slight upward drift toward USL 19 around Day21 — watch the upper side so it doesn't creep out.</t>
        </is>
      </c>
    </row>
    <row r="13" ht="30" customHeight="1">
      <c r="B13" s="27" t="inlineStr">
        <is>
          <t>6. Metal Dust/100 Veh — well within spec</t>
        </is>
      </c>
      <c r="C13" s="28" t="inlineStr">
        <is>
          <t>0.01–0.15 kg vs target 2.0 / USL 4.0 — far below limits. Either genuinely excellent or worth a quick check that the measurement/units are right.</t>
        </is>
      </c>
    </row>
    <row r="14" ht="8" customHeight="1">
      <c r="B14" s="27" t="inlineStr"/>
      <c r="C14" s="28" t="inlineStr"/>
    </row>
    <row r="15" ht="8" customHeight="1">
      <c r="B15" s="31" t="inlineStr">
        <is>
          <t>DATA / METHOD NOTES</t>
        </is>
      </c>
      <c r="C15" s="31" t="inlineStr"/>
    </row>
    <row r="16" ht="30" customHeight="1">
      <c r="B16" s="27" t="inlineStr">
        <is>
          <t>UF1 / UF2 / UF3 NV%</t>
        </is>
      </c>
      <c r="C16" s="28" t="inlineStr">
        <is>
          <t>No spec limits (LSL/Target/USL) defined — add them so these can be put on control charts and judged as in/out of spec.</t>
        </is>
      </c>
    </row>
    <row r="17" ht="30" customHeight="1">
      <c r="B17" s="27" t="inlineStr">
        <is>
          <t>Ash Content %</t>
        </is>
      </c>
      <c r="C17" s="28" t="inlineStr">
        <is>
          <t>Only two readings this month (Day13, Day21). Increase sampling frequency if it is a control parameter.</t>
        </is>
      </c>
    </row>
    <row r="18" ht="30" customHeight="1">
      <c r="B18" s="27" t="inlineStr">
        <is>
          <t>Missing days</t>
        </is>
      </c>
      <c r="C18" s="28" t="inlineStr">
        <is>
          <t>Day 1 and Day 26 are blank (holiday / not recorded). Control limits are computed only on days with data.</t>
        </is>
      </c>
    </row>
    <row r="19" ht="30" customHeight="1">
      <c r="B19" s="27" t="inlineStr">
        <is>
          <t>Control-limit method</t>
        </is>
      </c>
      <c r="C19" s="28" t="inlineStr">
        <is>
          <t>Individuals (I-MR) chart: Mean = average of daily readings; UCL/LCL = Mean ± 2.66 × MR-bar (MR-bar = average |dayₙ − dayₙ₋₁|); Sigma = MR-bar/1.128. USL/LSL are your spec limits (not the same as control limits). All computed live by formula on the chart sheets.</t>
        </is>
      </c>
    </row>
    <row r="20" ht="30" customHeight="1">
      <c r="B20" s="27" t="inlineStr">
        <is>
          <t>Control limits vs spec</t>
        </is>
      </c>
      <c r="C20" s="28" t="inlineStr">
        <is>
          <t>UCL/LCL show how the process actually behaves (voice of the process); USL/LSL show what is allowed (voice of the customer). A parameter can be in control yet out of spec — e.g., ED Drops.</t>
        </is>
      </c>
    </row>
    <row r="21" ht="30" customHeight="1">
      <c r="B21" s="27" t="inlineStr">
        <is>
          <t>Source</t>
        </is>
      </c>
      <c r="C21" s="28" t="inlineStr">
        <is>
          <t>Values transcribed from your photographed sheet (angled image). Verify against the original before presenting; every chart updates automatically once you correct any cell in the Data sheet.</t>
        </is>
      </c>
    </row>
  </sheetData>
  <mergeCells count="1"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2026-07-30T12:50:05Z</dcterms:created>
  <dcterms:modified xmlns:dcterms="http://purl.org/dc/terms/" xmlns:xsi="http://www.w3.org/2001/XMLSchema-instance" xsi:type="dcterms:W3CDTF">2026-07-30T12:50:05Z</dcterms:modified>
</cp:coreProperties>
</file>